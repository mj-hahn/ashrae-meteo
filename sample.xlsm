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Q:\Protocols &amp; Procedures\11. Electrical\Palmetto\"/>
    </mc:Choice>
  </mc:AlternateContent>
  <xr:revisionPtr revIDLastSave="0" documentId="13_ncr:1_{2D8763FB-3E9B-486E-95F1-0476D8BE9D84}" xr6:coauthVersionLast="41" xr6:coauthVersionMax="41" xr10:uidLastSave="{00000000-0000-0000-0000-000000000000}"/>
  <bookViews>
    <workbookView xWindow="-28920" yWindow="-30" windowWidth="29040" windowHeight="15840" tabRatio="850" activeTab="4" xr2:uid="{00000000-000D-0000-FFFF-FFFF00000000}"/>
  </bookViews>
  <sheets>
    <sheet name="Utility &amp; Client Info" sheetId="10" r:id="rId1"/>
    <sheet name="Panels" sheetId="12" r:id="rId2"/>
    <sheet name="Inverters" sheetId="13" r:id="rId3"/>
    <sheet name="Optimizers" sheetId="14" r:id="rId4"/>
    <sheet name="Input" sheetId="9" r:id="rId5"/>
    <sheet name="Output" sheetId="15" r:id="rId6"/>
    <sheet name="Calculations" sheetId="11" r:id="rId7"/>
    <sheet name="Voltage Drop" sheetId="16" r:id="rId8"/>
    <sheet name="2 Inv Input" sheetId="18" r:id="rId9"/>
    <sheet name="2 Inv Output" sheetId="19" r:id="rId10"/>
    <sheet name="2 Inv Calcs" sheetId="20" r:id="rId11"/>
    <sheet name="2 Inv VD" sheetId="21" r:id="rId12"/>
    <sheet name="3 Inv Input" sheetId="22" r:id="rId13"/>
    <sheet name="3 Inv Output" sheetId="27" r:id="rId14"/>
    <sheet name="3 Inv Calcs" sheetId="24" r:id="rId15"/>
    <sheet name="3 Inv VD" sheetId="26" r:id="rId16"/>
  </sheets>
  <definedNames>
    <definedName name="_xlnm._FilterDatabase" localSheetId="9" hidden="1">'2 Inv Output'!$Y$33:$Y$36</definedName>
    <definedName name="_xlnm._FilterDatabase" localSheetId="11" hidden="1">'2 Inv VD'!$H$5:$H$32</definedName>
    <definedName name="_xlnm._FilterDatabase" localSheetId="15" hidden="1">'3 Inv VD'!$H$5:$H$32</definedName>
    <definedName name="_xlnm._FilterDatabase" localSheetId="5" hidden="1">Output!$Y$32:$Y$34</definedName>
    <definedName name="_xlnm._FilterDatabase" localSheetId="7" hidden="1">'Voltage Drop'!$H$5:$H$32</definedName>
    <definedName name="CT">'Utility &amp; Client Info'!$M$3:$M$22</definedName>
    <definedName name="FL">'Utility &amp; Client Info'!$N$3:$N$22</definedName>
    <definedName name="IL">'Utility &amp; Client Info'!$O$3:$O$22</definedName>
    <definedName name="MA">'Utility &amp; Client Info'!$P$3:$P$22</definedName>
    <definedName name="MD">'Utility &amp; Client Info'!$Q$3:$Q$22</definedName>
    <definedName name="NC">'Utility &amp; Client Info'!$R$3:$R$22</definedName>
    <definedName name="NJ">'Utility &amp; Client Info'!$S$3:$S$22</definedName>
    <definedName name="NY">'Utility &amp; Client Info'!$T$3:$T$22</definedName>
    <definedName name="RI">'Utility &amp; Client Info'!$U$3:$U$22</definedName>
    <definedName name="SC">'Utility &amp; Client Info'!$V$3:$V$22</definedName>
    <definedName name="TX">'Utility &amp; Client Info'!$W$3:$W$22</definedName>
  </definedNames>
  <calcPr calcId="191029"/>
  <pivotCaches>
    <pivotCache cacheId="0" r:id="rId1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67" i="15" l="1"/>
  <c r="L67" i="15"/>
  <c r="I41" i="15"/>
  <c r="M41" i="15"/>
  <c r="I42" i="15"/>
  <c r="M42" i="15"/>
  <c r="I35" i="15"/>
  <c r="I36" i="15"/>
  <c r="H8" i="22"/>
  <c r="H8" i="18"/>
  <c r="H8" i="9"/>
  <c r="AI5" i="11" l="1"/>
  <c r="AI4" i="11"/>
  <c r="AN16" i="24"/>
  <c r="AN17" i="24"/>
  <c r="AN18" i="24"/>
  <c r="AN5" i="24"/>
  <c r="AN6" i="24"/>
  <c r="AN7" i="24"/>
  <c r="AN8" i="24"/>
  <c r="AN9" i="24"/>
  <c r="AN10" i="24"/>
  <c r="AN11" i="24"/>
  <c r="AN12" i="24"/>
  <c r="AN13" i="24"/>
  <c r="AN14" i="24"/>
  <c r="AN15" i="24"/>
  <c r="AN4" i="24"/>
  <c r="AF26" i="24"/>
  <c r="Q73" i="27" s="1"/>
  <c r="Q65" i="19"/>
  <c r="M73" i="27"/>
  <c r="M48" i="27"/>
  <c r="D9" i="22"/>
  <c r="AM5" i="20"/>
  <c r="AM6" i="20"/>
  <c r="AM7" i="20"/>
  <c r="AM8" i="20"/>
  <c r="AM9" i="20"/>
  <c r="AM10" i="20"/>
  <c r="AM11" i="20"/>
  <c r="AM4" i="20"/>
  <c r="AF26" i="20"/>
  <c r="M65" i="19"/>
  <c r="M43" i="19"/>
  <c r="D9" i="18"/>
  <c r="M38" i="15"/>
  <c r="Q60" i="15"/>
  <c r="M60" i="15"/>
  <c r="AG22" i="11"/>
  <c r="H6" i="22" l="1"/>
  <c r="H6" i="18"/>
  <c r="H6" i="9"/>
  <c r="H7" i="22" l="1"/>
  <c r="H7" i="18"/>
  <c r="H7" i="9"/>
  <c r="D23" i="22"/>
  <c r="D23" i="18"/>
  <c r="Y29" i="27" l="1"/>
  <c r="Y24" i="19"/>
  <c r="D20" i="9" l="1"/>
  <c r="AH48" i="26" l="1"/>
  <c r="J26" i="27"/>
  <c r="J27" i="27"/>
  <c r="J25" i="27"/>
  <c r="E27" i="27"/>
  <c r="E26" i="27"/>
  <c r="E25" i="27"/>
  <c r="Y3" i="27"/>
  <c r="Y3" i="19"/>
  <c r="Y3" i="15"/>
  <c r="J26" i="19" l="1"/>
  <c r="J25" i="19"/>
  <c r="E26" i="19"/>
  <c r="E25" i="19"/>
  <c r="AH37" i="21"/>
  <c r="AH38" i="21"/>
  <c r="AH39" i="21"/>
  <c r="AJ37" i="21"/>
  <c r="AJ38" i="21"/>
  <c r="AJ39" i="21"/>
  <c r="BC12" i="20"/>
  <c r="BC13" i="20"/>
  <c r="BC14" i="20"/>
  <c r="F19" i="9" l="1"/>
  <c r="AJ30" i="16" l="1"/>
  <c r="AJ29" i="16"/>
  <c r="AY5" i="11"/>
  <c r="AY4" i="11"/>
  <c r="AZ4" i="20"/>
  <c r="AV5" i="11"/>
  <c r="AV4" i="11"/>
  <c r="BC4" i="20" l="1"/>
  <c r="AJ29" i="21"/>
  <c r="AF3" i="24"/>
  <c r="AF3" i="20"/>
  <c r="AF24" i="11"/>
  <c r="CA19" i="24" l="1"/>
  <c r="CA17" i="24"/>
  <c r="CA16" i="24"/>
  <c r="CA14" i="24"/>
  <c r="CA13" i="24"/>
  <c r="CA11" i="24"/>
  <c r="CA10" i="24"/>
  <c r="CA9" i="24"/>
  <c r="CA8" i="24"/>
  <c r="BW19" i="24"/>
  <c r="BW17" i="24"/>
  <c r="BW16" i="24"/>
  <c r="BW14" i="24"/>
  <c r="BW13" i="24"/>
  <c r="BW11" i="24"/>
  <c r="BW10" i="24"/>
  <c r="BW9" i="24"/>
  <c r="BW8" i="24"/>
  <c r="BS19" i="24"/>
  <c r="BS17" i="24"/>
  <c r="BS16" i="24"/>
  <c r="BS14" i="24"/>
  <c r="BS13" i="24"/>
  <c r="BS11" i="24"/>
  <c r="BS10" i="24"/>
  <c r="BS9" i="24"/>
  <c r="BS8" i="24"/>
  <c r="BV19" i="20"/>
  <c r="BV17" i="20"/>
  <c r="BV16" i="20"/>
  <c r="BV14" i="20"/>
  <c r="BV13" i="20"/>
  <c r="BV11" i="20"/>
  <c r="BV10" i="20"/>
  <c r="BV9" i="20"/>
  <c r="BV8" i="20"/>
  <c r="BR19" i="20"/>
  <c r="BR17" i="20"/>
  <c r="BR16" i="20"/>
  <c r="BR14" i="20"/>
  <c r="BR13" i="20"/>
  <c r="BR11" i="20"/>
  <c r="BR10" i="20"/>
  <c r="BR9" i="20"/>
  <c r="BR8" i="20"/>
  <c r="BR6" i="20"/>
  <c r="BO22" i="24"/>
  <c r="D59" i="15" l="1"/>
  <c r="BC5" i="24" l="1"/>
  <c r="BC6" i="24"/>
  <c r="BC7" i="24"/>
  <c r="BC8" i="24"/>
  <c r="BC9" i="24"/>
  <c r="BC10" i="24"/>
  <c r="BC11" i="24"/>
  <c r="BC12" i="24"/>
  <c r="BC13" i="24"/>
  <c r="BC14" i="24"/>
  <c r="BC15" i="24"/>
  <c r="BC4" i="24"/>
  <c r="AF13" i="26"/>
  <c r="AG13" i="26" s="1"/>
  <c r="AF8" i="26"/>
  <c r="AG8" i="26" s="1"/>
  <c r="AF9" i="26"/>
  <c r="AG9" i="26" s="1"/>
  <c r="AE13" i="26"/>
  <c r="AE8" i="26"/>
  <c r="AE9" i="26"/>
  <c r="AA13" i="26"/>
  <c r="V15" i="26"/>
  <c r="AJ12" i="26" s="1"/>
  <c r="V11" i="26"/>
  <c r="V7" i="26"/>
  <c r="AJ13" i="26" s="1"/>
  <c r="AA9" i="26"/>
  <c r="AA8" i="26"/>
  <c r="S81" i="27"/>
  <c r="S80" i="27"/>
  <c r="AB58" i="24"/>
  <c r="AB57" i="24"/>
  <c r="AB56" i="24"/>
  <c r="AB55" i="24"/>
  <c r="AB54" i="24"/>
  <c r="AB53" i="24"/>
  <c r="P9" i="27" l="1"/>
  <c r="P8" i="27" s="1"/>
  <c r="O9" i="27"/>
  <c r="N9" i="27"/>
  <c r="M9" i="27"/>
  <c r="M8" i="27" s="1"/>
  <c r="L9" i="27"/>
  <c r="L8" i="27" s="1"/>
  <c r="K9" i="27"/>
  <c r="J9" i="27"/>
  <c r="I9" i="27"/>
  <c r="I8" i="27" s="1"/>
  <c r="H9" i="27"/>
  <c r="O8" i="27"/>
  <c r="J8" i="27"/>
  <c r="E16" i="27"/>
  <c r="N16" i="27" s="1"/>
  <c r="I75" i="27" s="1"/>
  <c r="T16" i="27"/>
  <c r="L16" i="27"/>
  <c r="K76" i="27" s="1"/>
  <c r="S41" i="27"/>
  <c r="S42" i="27"/>
  <c r="S40" i="27"/>
  <c r="S39" i="27"/>
  <c r="S38" i="27"/>
  <c r="S37" i="27"/>
  <c r="M71" i="27"/>
  <c r="U76" i="27"/>
  <c r="L79" i="27"/>
  <c r="S79" i="27"/>
  <c r="L80" i="27"/>
  <c r="F81" i="27"/>
  <c r="L81" i="27"/>
  <c r="L82" i="27"/>
  <c r="L83" i="27"/>
  <c r="L84" i="27"/>
  <c r="H85" i="27"/>
  <c r="H86" i="27"/>
  <c r="H87" i="27"/>
  <c r="Y21" i="27"/>
  <c r="Y20" i="27"/>
  <c r="Y19" i="27"/>
  <c r="Y18" i="27"/>
  <c r="Y17" i="27"/>
  <c r="Y16" i="27"/>
  <c r="Y15" i="27"/>
  <c r="Y14" i="27"/>
  <c r="Y13" i="27"/>
  <c r="Y12" i="27"/>
  <c r="Y11" i="27"/>
  <c r="Y10" i="27"/>
  <c r="Y6" i="27"/>
  <c r="Y5" i="27"/>
  <c r="L41" i="27"/>
  <c r="L42" i="27"/>
  <c r="L40" i="27"/>
  <c r="L39" i="27"/>
  <c r="L38" i="27"/>
  <c r="L37" i="27"/>
  <c r="I43" i="27"/>
  <c r="I44" i="27"/>
  <c r="I45" i="27"/>
  <c r="I46" i="27"/>
  <c r="G39" i="27"/>
  <c r="G38" i="27"/>
  <c r="G37" i="27"/>
  <c r="H27" i="27"/>
  <c r="H26" i="27"/>
  <c r="H25" i="27"/>
  <c r="CD3" i="24"/>
  <c r="K20" i="27" s="1"/>
  <c r="K8" i="27" s="1"/>
  <c r="C34" i="26"/>
  <c r="C33" i="26"/>
  <c r="C32" i="26"/>
  <c r="C31" i="26"/>
  <c r="C30" i="26"/>
  <c r="C29" i="26"/>
  <c r="C28" i="26"/>
  <c r="C27" i="26"/>
  <c r="C26" i="26"/>
  <c r="C25" i="26"/>
  <c r="C24" i="26"/>
  <c r="C23" i="26"/>
  <c r="C22" i="26"/>
  <c r="C21" i="26"/>
  <c r="C20" i="26"/>
  <c r="C19" i="26"/>
  <c r="C18" i="26"/>
  <c r="C17" i="26"/>
  <c r="C16" i="26"/>
  <c r="C15" i="26"/>
  <c r="C14" i="26"/>
  <c r="C13" i="26"/>
  <c r="C12" i="26"/>
  <c r="AJ11" i="26"/>
  <c r="C11" i="26"/>
  <c r="AF12" i="26"/>
  <c r="AG12" i="26" s="1"/>
  <c r="AE12" i="26"/>
  <c r="AA12" i="26"/>
  <c r="C10" i="26"/>
  <c r="AF11" i="26"/>
  <c r="AG11" i="26" s="1"/>
  <c r="AE11" i="26"/>
  <c r="AA11" i="26"/>
  <c r="C9" i="26"/>
  <c r="AF10" i="26"/>
  <c r="AG10" i="26" s="1"/>
  <c r="AE10" i="26"/>
  <c r="AA10" i="26"/>
  <c r="C8" i="26"/>
  <c r="AF7" i="26"/>
  <c r="AG7" i="26" s="1"/>
  <c r="AE7" i="26"/>
  <c r="AA7" i="26"/>
  <c r="AJ10" i="26"/>
  <c r="C7" i="26"/>
  <c r="AF6" i="26"/>
  <c r="AG6" i="26" s="1"/>
  <c r="AE6" i="26"/>
  <c r="AA6" i="26"/>
  <c r="S6" i="26"/>
  <c r="C6" i="26"/>
  <c r="AF5" i="26"/>
  <c r="AG5" i="26" s="1"/>
  <c r="AE5" i="26"/>
  <c r="AA5" i="26"/>
  <c r="AF4" i="26"/>
  <c r="AG4" i="26" s="1"/>
  <c r="AE4" i="26"/>
  <c r="AA4" i="26"/>
  <c r="BA10" i="24"/>
  <c r="AJ39" i="26" s="1"/>
  <c r="BD10" i="24" s="1"/>
  <c r="BA7" i="24"/>
  <c r="AJ36" i="26" s="1"/>
  <c r="BD7" i="24" s="1"/>
  <c r="BA4" i="24"/>
  <c r="AJ33" i="26" s="1"/>
  <c r="BD4" i="24" s="1"/>
  <c r="AS19" i="24"/>
  <c r="I55" i="27" s="1"/>
  <c r="AS18" i="24"/>
  <c r="I54" i="27" s="1"/>
  <c r="AS17" i="24"/>
  <c r="I53" i="27" s="1"/>
  <c r="AS16" i="24"/>
  <c r="I52" i="27" s="1"/>
  <c r="AT15" i="24"/>
  <c r="P42" i="27" s="1"/>
  <c r="AT14" i="24"/>
  <c r="AT13" i="24"/>
  <c r="P39" i="27" s="1"/>
  <c r="AT12" i="24"/>
  <c r="AS12" i="24"/>
  <c r="AT11" i="24"/>
  <c r="AS11" i="24"/>
  <c r="AT10" i="24"/>
  <c r="AS10" i="24"/>
  <c r="AT9" i="24"/>
  <c r="AS9" i="24"/>
  <c r="AT8" i="24"/>
  <c r="AS8" i="24"/>
  <c r="AT7" i="24"/>
  <c r="AS7" i="24"/>
  <c r="AT6" i="24"/>
  <c r="AS6" i="24"/>
  <c r="AT5" i="24"/>
  <c r="AS5" i="24"/>
  <c r="AT4" i="24"/>
  <c r="P37" i="27" s="1"/>
  <c r="AS4" i="24"/>
  <c r="AN2" i="24"/>
  <c r="BS6" i="24"/>
  <c r="BW6" i="24"/>
  <c r="CA6" i="24"/>
  <c r="AJ11" i="24"/>
  <c r="AM11" i="24" s="1"/>
  <c r="AJ12" i="24"/>
  <c r="AK12" i="24" s="1"/>
  <c r="AJ10" i="24"/>
  <c r="AM10" i="24" s="1"/>
  <c r="AJ8" i="24"/>
  <c r="AM8" i="24" s="1"/>
  <c r="AJ9" i="24"/>
  <c r="AM9" i="24" s="1"/>
  <c r="AJ7" i="24"/>
  <c r="AM7" i="24" s="1"/>
  <c r="AJ5" i="24"/>
  <c r="AM5" i="24" s="1"/>
  <c r="AJ6" i="24"/>
  <c r="AM6" i="24" s="1"/>
  <c r="AJ4" i="24"/>
  <c r="AM4" i="24" s="1"/>
  <c r="AF23" i="24"/>
  <c r="AF25" i="24" s="1"/>
  <c r="Q75" i="27" s="1"/>
  <c r="AF22" i="24"/>
  <c r="N8" i="27" l="1"/>
  <c r="O81" i="27"/>
  <c r="O80" i="27"/>
  <c r="AV5" i="24"/>
  <c r="P41" i="27"/>
  <c r="P27" i="27"/>
  <c r="V17" i="26"/>
  <c r="T27" i="27"/>
  <c r="CD10" i="24"/>
  <c r="H8" i="27"/>
  <c r="T25" i="27"/>
  <c r="V9" i="26"/>
  <c r="L25" i="27"/>
  <c r="H12" i="27" s="1"/>
  <c r="AV13" i="24"/>
  <c r="AV9" i="24"/>
  <c r="AN19" i="24"/>
  <c r="AR19" i="24" s="1"/>
  <c r="M55" i="27" s="1"/>
  <c r="AF24" i="24"/>
  <c r="R26" i="27"/>
  <c r="P26" i="27"/>
  <c r="V13" i="26"/>
  <c r="AJ8" i="26" s="1"/>
  <c r="T26" i="27"/>
  <c r="L26" i="27"/>
  <c r="K12" i="27" s="1"/>
  <c r="AV4" i="24"/>
  <c r="AV6" i="24"/>
  <c r="O79" i="27"/>
  <c r="P40" i="27"/>
  <c r="P38" i="27"/>
  <c r="M38" i="27"/>
  <c r="M39" i="27"/>
  <c r="M37" i="27"/>
  <c r="S11" i="27"/>
  <c r="R11" i="27"/>
  <c r="R12" i="27"/>
  <c r="R27" i="27"/>
  <c r="S12" i="27"/>
  <c r="S10" i="27"/>
  <c r="D72" i="27"/>
  <c r="J71" i="27"/>
  <c r="H16" i="27"/>
  <c r="N10" i="27" s="1"/>
  <c r="P16" i="27"/>
  <c r="K75" i="27" s="1"/>
  <c r="J16" i="27"/>
  <c r="I76" i="27" s="1"/>
  <c r="R16" i="27"/>
  <c r="R10" i="27"/>
  <c r="C16" i="27"/>
  <c r="J72" i="27" s="1"/>
  <c r="C20" i="27"/>
  <c r="AV10" i="24"/>
  <c r="AV14" i="24"/>
  <c r="AK4" i="24"/>
  <c r="AR12" i="24"/>
  <c r="AW12" i="24" s="1"/>
  <c r="AX12" i="24" s="1"/>
  <c r="AY12" i="24" s="1"/>
  <c r="AM12" i="24"/>
  <c r="AK10" i="24"/>
  <c r="AR8" i="24"/>
  <c r="AW8" i="24" s="1"/>
  <c r="AX8" i="24" s="1"/>
  <c r="AY8" i="24" s="1"/>
  <c r="AK8" i="24"/>
  <c r="AK5" i="24"/>
  <c r="AK7" i="24"/>
  <c r="AK9" i="24"/>
  <c r="AK11" i="24"/>
  <c r="AR6" i="24"/>
  <c r="AW6" i="24" s="1"/>
  <c r="AX6" i="24" s="1"/>
  <c r="AK6" i="24"/>
  <c r="AR5" i="24"/>
  <c r="AW5" i="24" s="1"/>
  <c r="AX5" i="24" s="1"/>
  <c r="AR9" i="24"/>
  <c r="AW9" i="24" s="1"/>
  <c r="AX9" i="24" s="1"/>
  <c r="AR11" i="24"/>
  <c r="AW11" i="24" s="1"/>
  <c r="AX11" i="24" s="1"/>
  <c r="AY11" i="24" s="1"/>
  <c r="AV7" i="24"/>
  <c r="AV11" i="24"/>
  <c r="AV15" i="24"/>
  <c r="AV8" i="24"/>
  <c r="AV12" i="24"/>
  <c r="AH37" i="26" l="1"/>
  <c r="BB8" i="24" s="1"/>
  <c r="AH40" i="26"/>
  <c r="BB11" i="24" s="1"/>
  <c r="AH41" i="26"/>
  <c r="BB12" i="24" s="1"/>
  <c r="AJ5" i="26"/>
  <c r="AJ7" i="26"/>
  <c r="AJ4" i="26"/>
  <c r="Q71" i="27"/>
  <c r="AJ6" i="26"/>
  <c r="AJ9" i="26"/>
  <c r="J73" i="27"/>
  <c r="T10" i="27"/>
  <c r="CE10" i="24"/>
  <c r="E33" i="27" s="1"/>
  <c r="Y25" i="27" s="1"/>
  <c r="V16" i="26"/>
  <c r="AB12" i="26" s="1"/>
  <c r="AI12" i="26" s="1"/>
  <c r="AK12" i="26" s="1"/>
  <c r="N27" i="27"/>
  <c r="K33" i="27" s="1"/>
  <c r="R8" i="27"/>
  <c r="V4" i="26"/>
  <c r="V5" i="26" s="1"/>
  <c r="AB5" i="26" s="1"/>
  <c r="T12" i="27"/>
  <c r="T11" i="27"/>
  <c r="F77" i="27"/>
  <c r="AT18" i="24"/>
  <c r="F82" i="27"/>
  <c r="L27" i="27"/>
  <c r="N12" i="27" s="1"/>
  <c r="F80" i="27"/>
  <c r="P25" i="27"/>
  <c r="F76" i="27"/>
  <c r="R25" i="27"/>
  <c r="F75" i="27"/>
  <c r="H10" i="27"/>
  <c r="K10" i="27"/>
  <c r="N11" i="27"/>
  <c r="CD9" i="24"/>
  <c r="V12" i="26" s="1"/>
  <c r="AB11" i="26" s="1"/>
  <c r="AI11" i="26" s="1"/>
  <c r="AK11" i="26" s="1"/>
  <c r="AT17" i="24"/>
  <c r="CD8" i="24"/>
  <c r="V8" i="26" s="1"/>
  <c r="AB10" i="26" s="1"/>
  <c r="AT16" i="24"/>
  <c r="P43" i="27" s="1"/>
  <c r="AY9" i="24"/>
  <c r="AY6" i="24"/>
  <c r="AY5" i="24"/>
  <c r="AR15" i="24"/>
  <c r="AR17" i="24"/>
  <c r="M53" i="27" s="1"/>
  <c r="AR16" i="24"/>
  <c r="M52" i="27" s="1"/>
  <c r="AR18" i="24"/>
  <c r="M54" i="27" s="1"/>
  <c r="AR7" i="24"/>
  <c r="AW7" i="24" s="1"/>
  <c r="AX7" i="24" s="1"/>
  <c r="AR14" i="24"/>
  <c r="AR13" i="24"/>
  <c r="AR4" i="24"/>
  <c r="AW4" i="24" s="1"/>
  <c r="AX4" i="24" s="1"/>
  <c r="AR10" i="24"/>
  <c r="AW10" i="24" s="1"/>
  <c r="AX10" i="24" s="1"/>
  <c r="AK13" i="24"/>
  <c r="AK14" i="24"/>
  <c r="AK15" i="24"/>
  <c r="BH11" i="24" l="1"/>
  <c r="BI11" i="24" s="1"/>
  <c r="BJ11" i="24"/>
  <c r="BJ12" i="24"/>
  <c r="BH12" i="24"/>
  <c r="BI12" i="24" s="1"/>
  <c r="BH8" i="24"/>
  <c r="BI8" i="24" s="1"/>
  <c r="D41" i="27"/>
  <c r="D50" i="27" s="1"/>
  <c r="BJ8" i="24"/>
  <c r="AH34" i="26"/>
  <c r="BB5" i="24" s="1"/>
  <c r="AH35" i="26"/>
  <c r="BB6" i="24" s="1"/>
  <c r="AH38" i="26"/>
  <c r="BB9" i="24" s="1"/>
  <c r="M50" i="27"/>
  <c r="AS15" i="24"/>
  <c r="I51" i="27" s="1"/>
  <c r="I42" i="27"/>
  <c r="AY10" i="24"/>
  <c r="AY7" i="24"/>
  <c r="M51" i="27"/>
  <c r="AS14" i="24"/>
  <c r="AW14" i="24" s="1"/>
  <c r="AX14" i="24" s="1"/>
  <c r="I41" i="27"/>
  <c r="AY4" i="24"/>
  <c r="AS13" i="24"/>
  <c r="I49" i="27" s="1"/>
  <c r="I40" i="27"/>
  <c r="M49" i="27"/>
  <c r="R33" i="27"/>
  <c r="AB13" i="26"/>
  <c r="AI13" i="26" s="1"/>
  <c r="AK13" i="26" s="1"/>
  <c r="AI10" i="26"/>
  <c r="AK10" i="26" s="1"/>
  <c r="AL10" i="26" s="1"/>
  <c r="AI5" i="26"/>
  <c r="AK5" i="26" s="1"/>
  <c r="AB8" i="26"/>
  <c r="AI8" i="26" s="1"/>
  <c r="AK8" i="26" s="1"/>
  <c r="AB9" i="26"/>
  <c r="AI9" i="26" s="1"/>
  <c r="AK9" i="26" s="1"/>
  <c r="AB7" i="26"/>
  <c r="AB4" i="26"/>
  <c r="AI4" i="26" s="1"/>
  <c r="AK4" i="26" s="1"/>
  <c r="AL4" i="26" s="1"/>
  <c r="AM4" i="26" s="1"/>
  <c r="AB6" i="26"/>
  <c r="AV17" i="24"/>
  <c r="P44" i="27"/>
  <c r="AV18" i="24"/>
  <c r="P45" i="27"/>
  <c r="CE9" i="24"/>
  <c r="N26" i="27"/>
  <c r="AT19" i="24"/>
  <c r="P46" i="27" s="1"/>
  <c r="AV16" i="24"/>
  <c r="N25" i="27"/>
  <c r="CD11" i="24"/>
  <c r="Y4" i="27" s="1"/>
  <c r="CE8" i="24"/>
  <c r="AW18" i="24"/>
  <c r="AW16" i="24"/>
  <c r="AW17" i="24"/>
  <c r="D39" i="27" l="1"/>
  <c r="BJ6" i="24"/>
  <c r="BH6" i="24"/>
  <c r="BI6" i="24" s="1"/>
  <c r="BJ5" i="24"/>
  <c r="D38" i="27"/>
  <c r="BH5" i="24"/>
  <c r="BI5" i="24" s="1"/>
  <c r="BJ9" i="24"/>
  <c r="BH9" i="24"/>
  <c r="BI9" i="24" s="1"/>
  <c r="D42" i="27"/>
  <c r="D51" i="27" s="1"/>
  <c r="AH36" i="26"/>
  <c r="BB7" i="24" s="1"/>
  <c r="AH39" i="26"/>
  <c r="BB10" i="24" s="1"/>
  <c r="AH33" i="26"/>
  <c r="BB4" i="24" s="1"/>
  <c r="AX18" i="24"/>
  <c r="S45" i="27" s="1"/>
  <c r="BA14" i="24"/>
  <c r="AY14" i="24"/>
  <c r="AW13" i="24"/>
  <c r="AX13" i="24" s="1"/>
  <c r="I50" i="27"/>
  <c r="AW15" i="24"/>
  <c r="AX15" i="24" s="1"/>
  <c r="AI7" i="26"/>
  <c r="AK7" i="26" s="1"/>
  <c r="AI6" i="26"/>
  <c r="AK6" i="26" s="1"/>
  <c r="AX17" i="24"/>
  <c r="AY17" i="24" s="1"/>
  <c r="AH46" i="26" s="1"/>
  <c r="AX16" i="24"/>
  <c r="BA16" i="24" s="1"/>
  <c r="R32" i="27"/>
  <c r="E32" i="27"/>
  <c r="Y24" i="27" s="1"/>
  <c r="K11" i="27"/>
  <c r="K32" i="27"/>
  <c r="K31" i="27"/>
  <c r="H11" i="27"/>
  <c r="K34" i="27"/>
  <c r="R31" i="27"/>
  <c r="E31" i="27"/>
  <c r="Y23" i="27" s="1"/>
  <c r="CE11" i="24"/>
  <c r="Y22" i="27" s="1"/>
  <c r="AW19" i="24"/>
  <c r="AV19" i="24"/>
  <c r="AY18" i="24" l="1"/>
  <c r="AH47" i="26" s="1"/>
  <c r="BA18" i="24"/>
  <c r="AJ47" i="26" s="1"/>
  <c r="BD18" i="24" s="1"/>
  <c r="O87" i="27" s="1"/>
  <c r="BH10" i="24"/>
  <c r="BI10" i="24" s="1"/>
  <c r="I81" i="27"/>
  <c r="BE10" i="24"/>
  <c r="BF10" i="24" s="1"/>
  <c r="BJ10" i="24"/>
  <c r="BJ7" i="24"/>
  <c r="I80" i="27"/>
  <c r="BH7" i="24"/>
  <c r="BI7" i="24" s="1"/>
  <c r="D40" i="27"/>
  <c r="D49" i="27" s="1"/>
  <c r="BE7" i="24"/>
  <c r="BF7" i="24" s="1"/>
  <c r="AH43" i="26"/>
  <c r="BB14" i="24" s="1"/>
  <c r="BE4" i="24"/>
  <c r="BF4" i="24" s="1"/>
  <c r="I79" i="27"/>
  <c r="BH4" i="24"/>
  <c r="BI4" i="24" s="1"/>
  <c r="BJ4" i="24"/>
  <c r="D37" i="27"/>
  <c r="BG18" i="24"/>
  <c r="L45" i="27" s="1"/>
  <c r="M41" i="27"/>
  <c r="AJ43" i="26"/>
  <c r="BD14" i="24" s="1"/>
  <c r="O83" i="27" s="1"/>
  <c r="BA15" i="24"/>
  <c r="AY15" i="24"/>
  <c r="AY13" i="24"/>
  <c r="BA13" i="24"/>
  <c r="M45" i="27"/>
  <c r="AZ18" i="24"/>
  <c r="AZ17" i="24"/>
  <c r="M43" i="27"/>
  <c r="AJ45" i="26"/>
  <c r="BD16" i="24" s="1"/>
  <c r="O85" i="27" s="1"/>
  <c r="S44" i="27"/>
  <c r="BG17" i="24"/>
  <c r="L44" i="27" s="1"/>
  <c r="BA17" i="24"/>
  <c r="AY16" i="24"/>
  <c r="AH45" i="26" s="1"/>
  <c r="BG16" i="24"/>
  <c r="L43" i="27" s="1"/>
  <c r="S43" i="27"/>
  <c r="E34" i="27"/>
  <c r="R34" i="27"/>
  <c r="AX19" i="24"/>
  <c r="BJ14" i="24" l="1"/>
  <c r="BH14" i="24"/>
  <c r="BI14" i="24" s="1"/>
  <c r="P50" i="27" s="1"/>
  <c r="AH44" i="26"/>
  <c r="BB15" i="24" s="1"/>
  <c r="I83" i="27"/>
  <c r="AH42" i="26"/>
  <c r="BB13" i="24" s="1"/>
  <c r="BE14" i="24"/>
  <c r="BF14" i="24" s="1"/>
  <c r="S83" i="27" s="1"/>
  <c r="AJ42" i="26"/>
  <c r="BD13" i="24" s="1"/>
  <c r="O82" i="27" s="1"/>
  <c r="M40" i="27"/>
  <c r="M42" i="27"/>
  <c r="AJ44" i="26"/>
  <c r="BD15" i="24" s="1"/>
  <c r="O84" i="27" s="1"/>
  <c r="BB18" i="24"/>
  <c r="AI47" i="26"/>
  <c r="BC18" i="24" s="1"/>
  <c r="L87" i="27" s="1"/>
  <c r="M44" i="27"/>
  <c r="AJ46" i="26"/>
  <c r="BD17" i="24" s="1"/>
  <c r="O86" i="27" s="1"/>
  <c r="BB17" i="24"/>
  <c r="AI46" i="26"/>
  <c r="BC17" i="24" s="1"/>
  <c r="L86" i="27" s="1"/>
  <c r="AZ16" i="24"/>
  <c r="Y8" i="27"/>
  <c r="Y7" i="27"/>
  <c r="BG19" i="24"/>
  <c r="L46" i="27" s="1"/>
  <c r="S46" i="27"/>
  <c r="AY19" i="24"/>
  <c r="BA19" i="24"/>
  <c r="K50" i="27" l="1"/>
  <c r="G50" i="27"/>
  <c r="I82" i="27"/>
  <c r="BH13" i="24"/>
  <c r="G49" i="27" s="1"/>
  <c r="BJ13" i="24"/>
  <c r="I84" i="27"/>
  <c r="BH15" i="24"/>
  <c r="BI15" i="24" s="1"/>
  <c r="P51" i="27" s="1"/>
  <c r="BJ15" i="24"/>
  <c r="G41" i="27"/>
  <c r="BE13" i="24"/>
  <c r="BF13" i="24" s="1"/>
  <c r="S82" i="27" s="1"/>
  <c r="BE15" i="24"/>
  <c r="BF15" i="24" s="1"/>
  <c r="BE18" i="24"/>
  <c r="BF18" i="24" s="1"/>
  <c r="S87" i="27" s="1"/>
  <c r="BH18" i="24"/>
  <c r="BJ18" i="24"/>
  <c r="I87" i="27"/>
  <c r="D45" i="27"/>
  <c r="D54" i="27" s="1"/>
  <c r="I86" i="27"/>
  <c r="BH17" i="24"/>
  <c r="BE17" i="24"/>
  <c r="BF17" i="24" s="1"/>
  <c r="S86" i="27" s="1"/>
  <c r="D44" i="27"/>
  <c r="D53" i="27" s="1"/>
  <c r="BJ17" i="24"/>
  <c r="M46" i="27"/>
  <c r="AJ48" i="26"/>
  <c r="BD19" i="24" s="1"/>
  <c r="O88" i="27" s="1"/>
  <c r="BB16" i="24"/>
  <c r="AI45" i="26"/>
  <c r="BC16" i="24" s="1"/>
  <c r="L85" i="27" s="1"/>
  <c r="AZ19" i="24"/>
  <c r="K49" i="27" l="1"/>
  <c r="K51" i="27"/>
  <c r="G51" i="27"/>
  <c r="BI13" i="24"/>
  <c r="P49" i="27" s="1"/>
  <c r="G45" i="27"/>
  <c r="G40" i="27"/>
  <c r="G44" i="27"/>
  <c r="S84" i="27"/>
  <c r="G42" i="27"/>
  <c r="BI18" i="24"/>
  <c r="P54" i="27" s="1"/>
  <c r="K54" i="27"/>
  <c r="G54" i="27"/>
  <c r="BI17" i="24"/>
  <c r="P53" i="27" s="1"/>
  <c r="G53" i="27"/>
  <c r="K53" i="27"/>
  <c r="BE16" i="24"/>
  <c r="BF16" i="24" s="1"/>
  <c r="BJ16" i="24"/>
  <c r="I85" i="27"/>
  <c r="D43" i="27"/>
  <c r="D52" i="27" s="1"/>
  <c r="BH16" i="24"/>
  <c r="BB19" i="24"/>
  <c r="AI48" i="26"/>
  <c r="BC19" i="24" s="1"/>
  <c r="L88" i="27" s="1"/>
  <c r="I88" i="27" l="1"/>
  <c r="BH19" i="24"/>
  <c r="BE19" i="24"/>
  <c r="BF19" i="24" s="1"/>
  <c r="S88" i="27" s="1"/>
  <c r="BJ19" i="24"/>
  <c r="D46" i="27"/>
  <c r="D55" i="27" s="1"/>
  <c r="K52" i="27"/>
  <c r="BI16" i="24"/>
  <c r="P52" i="27" s="1"/>
  <c r="G52" i="27"/>
  <c r="G43" i="27"/>
  <c r="S85" i="27"/>
  <c r="V11" i="21"/>
  <c r="AJ9" i="21" s="1"/>
  <c r="V7" i="21"/>
  <c r="AJ10" i="21" s="1"/>
  <c r="AZ7" i="20"/>
  <c r="AF9" i="21"/>
  <c r="AG9" i="21" s="1"/>
  <c r="AF10" i="21"/>
  <c r="AG10" i="21" s="1"/>
  <c r="AE9" i="21"/>
  <c r="AE10" i="21"/>
  <c r="AA10" i="21"/>
  <c r="AA9" i="21"/>
  <c r="Y11" i="19"/>
  <c r="Y10" i="19"/>
  <c r="AB58" i="20"/>
  <c r="AB57" i="20"/>
  <c r="AB56" i="20"/>
  <c r="AB55" i="20"/>
  <c r="AB54" i="20"/>
  <c r="AB53" i="20"/>
  <c r="Y5" i="19"/>
  <c r="Y6" i="19"/>
  <c r="Y6" i="15"/>
  <c r="Y5" i="15"/>
  <c r="M63" i="19"/>
  <c r="U68" i="19"/>
  <c r="L71" i="19"/>
  <c r="S71" i="19"/>
  <c r="L72" i="19"/>
  <c r="S72" i="19"/>
  <c r="F73" i="19"/>
  <c r="L73" i="19"/>
  <c r="L74" i="19"/>
  <c r="S38" i="19"/>
  <c r="L38" i="19"/>
  <c r="S37" i="19"/>
  <c r="L37" i="19"/>
  <c r="S36" i="19"/>
  <c r="L36" i="19"/>
  <c r="G36" i="19"/>
  <c r="S35" i="19"/>
  <c r="L35" i="19"/>
  <c r="G35" i="19"/>
  <c r="H26" i="19"/>
  <c r="H25" i="19"/>
  <c r="E16" i="19"/>
  <c r="T16" i="19" s="1"/>
  <c r="M9" i="19"/>
  <c r="M8" i="19" s="1"/>
  <c r="L9" i="19"/>
  <c r="L8" i="19" s="1"/>
  <c r="K9" i="19"/>
  <c r="Y15" i="19" s="1"/>
  <c r="J9" i="19"/>
  <c r="J8" i="19" s="1"/>
  <c r="I9" i="19"/>
  <c r="I8" i="19" s="1"/>
  <c r="H9" i="19"/>
  <c r="Y12" i="19" s="1"/>
  <c r="AF23" i="20"/>
  <c r="AF22" i="20"/>
  <c r="AI9" i="20"/>
  <c r="AI8" i="20"/>
  <c r="AI7" i="20"/>
  <c r="AI6" i="20"/>
  <c r="AI5" i="20"/>
  <c r="AI4" i="20"/>
  <c r="BV6" i="20"/>
  <c r="BC7" i="20" l="1"/>
  <c r="AJ32" i="21"/>
  <c r="J63" i="19"/>
  <c r="G46" i="27"/>
  <c r="T9" i="19"/>
  <c r="T10" i="19" s="1"/>
  <c r="R9" i="19"/>
  <c r="R10" i="19" s="1"/>
  <c r="BI19" i="24"/>
  <c r="P55" i="27" s="1"/>
  <c r="K55" i="27"/>
  <c r="G55" i="27"/>
  <c r="Y13" i="19"/>
  <c r="Y17" i="19"/>
  <c r="Y14" i="19"/>
  <c r="Y16" i="19"/>
  <c r="AJ8" i="21"/>
  <c r="D64" i="19"/>
  <c r="C16" i="19"/>
  <c r="J64" i="19" s="1"/>
  <c r="C20" i="19"/>
  <c r="N16" i="19"/>
  <c r="I67" i="19" s="1"/>
  <c r="H16" i="19"/>
  <c r="J65" i="19" s="1"/>
  <c r="P16" i="19"/>
  <c r="K67" i="19" s="1"/>
  <c r="J16" i="19"/>
  <c r="I68" i="19" s="1"/>
  <c r="R16" i="19"/>
  <c r="L16" i="19"/>
  <c r="K68" i="19" s="1"/>
  <c r="F28" i="22"/>
  <c r="H22" i="22"/>
  <c r="G26" i="22" s="1"/>
  <c r="G27" i="22" s="1"/>
  <c r="D36" i="22"/>
  <c r="Y30" i="27" s="1"/>
  <c r="D35" i="22"/>
  <c r="D34" i="22"/>
  <c r="J34" i="22" s="1"/>
  <c r="Y28" i="27" s="1"/>
  <c r="D33" i="22"/>
  <c r="D32" i="22"/>
  <c r="J18" i="22"/>
  <c r="C26" i="22"/>
  <c r="K24" i="22"/>
  <c r="J35" i="22"/>
  <c r="K22" i="22"/>
  <c r="L12" i="22"/>
  <c r="K16" i="22" s="1"/>
  <c r="K17" i="22" s="1"/>
  <c r="D22" i="22"/>
  <c r="D21" i="22"/>
  <c r="D19" i="22"/>
  <c r="F18" i="22"/>
  <c r="C17" i="22"/>
  <c r="H12" i="22"/>
  <c r="G16" i="22" s="1"/>
  <c r="G17" i="22" s="1"/>
  <c r="H10" i="19" l="1"/>
  <c r="K23" i="22"/>
  <c r="Y9" i="27"/>
  <c r="BO6" i="24"/>
  <c r="BO21" i="24" s="1"/>
  <c r="D20" i="22"/>
  <c r="F19" i="22"/>
  <c r="J19" i="22"/>
  <c r="F29" i="22"/>
  <c r="J33" i="22"/>
  <c r="Y33" i="27" s="1"/>
  <c r="V4" i="21"/>
  <c r="T11" i="19"/>
  <c r="T12" i="19" s="1"/>
  <c r="R11" i="19"/>
  <c r="R12" i="19" s="1"/>
  <c r="K10" i="19"/>
  <c r="K25" i="22"/>
  <c r="C34" i="21"/>
  <c r="C33" i="21"/>
  <c r="C32" i="21"/>
  <c r="C31" i="21"/>
  <c r="C30" i="21"/>
  <c r="C29" i="21"/>
  <c r="C28" i="21"/>
  <c r="C27" i="21"/>
  <c r="C26" i="21"/>
  <c r="C25" i="21"/>
  <c r="C24" i="21"/>
  <c r="C23" i="21"/>
  <c r="C22" i="21"/>
  <c r="C21" i="21"/>
  <c r="C20" i="21"/>
  <c r="C19" i="21"/>
  <c r="C18" i="21"/>
  <c r="C17" i="21"/>
  <c r="C16" i="21"/>
  <c r="C15" i="21"/>
  <c r="C14" i="21"/>
  <c r="C13" i="21"/>
  <c r="C12" i="21"/>
  <c r="C11" i="21"/>
  <c r="C10" i="21"/>
  <c r="C9" i="21"/>
  <c r="AF8" i="21"/>
  <c r="AG8" i="21" s="1"/>
  <c r="AE8" i="21"/>
  <c r="AA8" i="21"/>
  <c r="C8" i="21"/>
  <c r="AF7" i="21"/>
  <c r="AG7" i="21" s="1"/>
  <c r="AE7" i="21"/>
  <c r="AA7" i="21"/>
  <c r="C7" i="21"/>
  <c r="AF6" i="21"/>
  <c r="AG6" i="21" s="1"/>
  <c r="AE6" i="21"/>
  <c r="AA6" i="21"/>
  <c r="S6" i="21"/>
  <c r="C6" i="21"/>
  <c r="AF5" i="21"/>
  <c r="AG5" i="21" s="1"/>
  <c r="AE5" i="21"/>
  <c r="AA5" i="21"/>
  <c r="AF4" i="21"/>
  <c r="AG4" i="21" s="1"/>
  <c r="AE4" i="21"/>
  <c r="AA4" i="21"/>
  <c r="AC44" i="20"/>
  <c r="AC43" i="20"/>
  <c r="AB44" i="20" s="1"/>
  <c r="AC42" i="20"/>
  <c r="AB43" i="20" s="1"/>
  <c r="AC41" i="20"/>
  <c r="AB42" i="20" s="1"/>
  <c r="AC40" i="20"/>
  <c r="AB41" i="20" s="1"/>
  <c r="AC39" i="20"/>
  <c r="AB40" i="20" s="1"/>
  <c r="AC38" i="20"/>
  <c r="AB39" i="20" s="1"/>
  <c r="AC37" i="20"/>
  <c r="AB38" i="20" s="1"/>
  <c r="AC36" i="20"/>
  <c r="AB37" i="20" s="1"/>
  <c r="AC35" i="20"/>
  <c r="AB36" i="20" s="1"/>
  <c r="AC34" i="20"/>
  <c r="AB35" i="20" s="1"/>
  <c r="M34" i="20"/>
  <c r="H34" i="20"/>
  <c r="AC33" i="20"/>
  <c r="AB34" i="20" s="1"/>
  <c r="M33" i="20"/>
  <c r="H33" i="20"/>
  <c r="AC32" i="20"/>
  <c r="AB33" i="20" s="1"/>
  <c r="M32" i="20"/>
  <c r="H32" i="20"/>
  <c r="AC31" i="20"/>
  <c r="AB32" i="20" s="1"/>
  <c r="M31" i="20"/>
  <c r="H31" i="20"/>
  <c r="AC30" i="20"/>
  <c r="AB31" i="20" s="1"/>
  <c r="M30" i="20"/>
  <c r="H30" i="20"/>
  <c r="AC29" i="20"/>
  <c r="AB30" i="20" s="1"/>
  <c r="M29" i="20"/>
  <c r="H29" i="20"/>
  <c r="AC28" i="20"/>
  <c r="AB29" i="20" s="1"/>
  <c r="M28" i="20"/>
  <c r="H28" i="20"/>
  <c r="AC27" i="20"/>
  <c r="AB28" i="20" s="1"/>
  <c r="M27" i="20"/>
  <c r="H27" i="20"/>
  <c r="AC26" i="20"/>
  <c r="AB27" i="20" s="1"/>
  <c r="M26" i="20"/>
  <c r="H26" i="20"/>
  <c r="AF25" i="20"/>
  <c r="Q67" i="19" s="1"/>
  <c r="AC25" i="20"/>
  <c r="AB26" i="20" s="1"/>
  <c r="M25" i="20"/>
  <c r="H25" i="20"/>
  <c r="AF24" i="20"/>
  <c r="AE24" i="20"/>
  <c r="AC24" i="20"/>
  <c r="AB25" i="20" s="1"/>
  <c r="M24" i="20"/>
  <c r="H24" i="20"/>
  <c r="AC23" i="20"/>
  <c r="AB24" i="20" s="1"/>
  <c r="M23" i="20"/>
  <c r="H23" i="20"/>
  <c r="BY3" i="20"/>
  <c r="K20" i="19" s="1"/>
  <c r="AE22" i="20"/>
  <c r="AC22" i="20"/>
  <c r="AB23" i="20" s="1"/>
  <c r="M22" i="20"/>
  <c r="H22" i="20"/>
  <c r="AC21" i="20"/>
  <c r="AB22" i="20" s="1"/>
  <c r="M21" i="20"/>
  <c r="H21" i="20"/>
  <c r="AC20" i="20"/>
  <c r="AB21" i="20" s="1"/>
  <c r="M20" i="20"/>
  <c r="H20" i="20"/>
  <c r="BY9" i="20"/>
  <c r="V12" i="21" s="1"/>
  <c r="AB9" i="21" s="1"/>
  <c r="AI9" i="21" s="1"/>
  <c r="AK9" i="21" s="1"/>
  <c r="AS12" i="20"/>
  <c r="P39" i="19" s="1"/>
  <c r="AC19" i="20"/>
  <c r="AB20" i="20" s="1"/>
  <c r="M19" i="20"/>
  <c r="H19" i="20"/>
  <c r="AC18" i="20"/>
  <c r="AB19" i="20" s="1"/>
  <c r="M18" i="20"/>
  <c r="H18" i="20"/>
  <c r="AC17" i="20"/>
  <c r="AB18" i="20" s="1"/>
  <c r="M17" i="20"/>
  <c r="H17" i="20"/>
  <c r="L26" i="19"/>
  <c r="K12" i="19" s="1"/>
  <c r="AC16" i="20"/>
  <c r="AB17" i="20" s="1"/>
  <c r="M16" i="20"/>
  <c r="H16" i="20"/>
  <c r="AC15" i="20"/>
  <c r="AB16" i="20" s="1"/>
  <c r="M15" i="20"/>
  <c r="H15" i="20"/>
  <c r="T26" i="19"/>
  <c r="T25" i="19"/>
  <c r="AR14" i="20"/>
  <c r="AM14" i="20"/>
  <c r="AC14" i="20"/>
  <c r="AB15" i="20" s="1"/>
  <c r="M14" i="20"/>
  <c r="H14" i="20"/>
  <c r="AR13" i="20"/>
  <c r="AM13" i="20"/>
  <c r="AC13" i="20"/>
  <c r="AB14" i="20" s="1"/>
  <c r="M13" i="20"/>
  <c r="H13" i="20"/>
  <c r="AR12" i="20"/>
  <c r="AM12" i="20"/>
  <c r="AC12" i="20"/>
  <c r="AB13" i="20" s="1"/>
  <c r="M12" i="20"/>
  <c r="H12" i="20"/>
  <c r="P26" i="19"/>
  <c r="AS11" i="20"/>
  <c r="P38" i="19" s="1"/>
  <c r="AE11" i="20"/>
  <c r="AC11" i="20"/>
  <c r="AB12" i="20" s="1"/>
  <c r="M11" i="20"/>
  <c r="H11" i="20"/>
  <c r="V13" i="21"/>
  <c r="V9" i="21"/>
  <c r="AS10" i="20"/>
  <c r="P37" i="19" s="1"/>
  <c r="AC10" i="20"/>
  <c r="AB11" i="20" s="1"/>
  <c r="M10" i="20"/>
  <c r="H10" i="20"/>
  <c r="R26" i="19"/>
  <c r="AS9" i="20"/>
  <c r="AU9" i="20" s="1"/>
  <c r="AR9" i="20"/>
  <c r="AJ9" i="20"/>
  <c r="AC9" i="20"/>
  <c r="AB10" i="20" s="1"/>
  <c r="AB9" i="20"/>
  <c r="U9" i="20"/>
  <c r="U10" i="20" s="1"/>
  <c r="M9" i="20"/>
  <c r="H9" i="20"/>
  <c r="AS8" i="20"/>
  <c r="AR8" i="20"/>
  <c r="AJ8" i="20"/>
  <c r="Y8" i="20"/>
  <c r="M8" i="20"/>
  <c r="H8" i="20"/>
  <c r="AS7" i="20"/>
  <c r="AR7" i="20"/>
  <c r="AL7" i="20"/>
  <c r="AJ7" i="20"/>
  <c r="AS6" i="20"/>
  <c r="AR6" i="20"/>
  <c r="AJ6" i="20"/>
  <c r="AS5" i="20"/>
  <c r="AR5" i="20"/>
  <c r="AJ5" i="20"/>
  <c r="M35" i="19"/>
  <c r="AS4" i="20"/>
  <c r="AR4" i="20"/>
  <c r="AL4" i="20"/>
  <c r="O71" i="19" s="1"/>
  <c r="AJ4" i="20"/>
  <c r="AM2" i="20"/>
  <c r="P36" i="19" l="1"/>
  <c r="AU5" i="20"/>
  <c r="P35" i="19"/>
  <c r="AU4" i="20"/>
  <c r="V5" i="21"/>
  <c r="BO11" i="24"/>
  <c r="BO15" i="24"/>
  <c r="S20" i="27" s="1"/>
  <c r="BO9" i="24"/>
  <c r="BO13" i="24"/>
  <c r="BO8" i="24"/>
  <c r="H20" i="27" s="1"/>
  <c r="S72" i="27"/>
  <c r="E20" i="27"/>
  <c r="BO12" i="24"/>
  <c r="BO19" i="24"/>
  <c r="U75" i="27" s="1"/>
  <c r="J32" i="22"/>
  <c r="Y32" i="27"/>
  <c r="Y34" i="27"/>
  <c r="C46" i="27" s="1"/>
  <c r="AJ5" i="21"/>
  <c r="AJ7" i="21"/>
  <c r="AJ6" i="21"/>
  <c r="AJ4" i="21"/>
  <c r="F69" i="19"/>
  <c r="Q63" i="19"/>
  <c r="R25" i="19"/>
  <c r="F67" i="19"/>
  <c r="AS13" i="20"/>
  <c r="P40" i="19" s="1"/>
  <c r="F74" i="19"/>
  <c r="P25" i="19"/>
  <c r="F68" i="19"/>
  <c r="L25" i="19"/>
  <c r="H12" i="19" s="1"/>
  <c r="F72" i="19"/>
  <c r="BZ9" i="20"/>
  <c r="R31" i="19" s="1"/>
  <c r="N26" i="19"/>
  <c r="AU6" i="20"/>
  <c r="AU8" i="20"/>
  <c r="I48" i="19"/>
  <c r="I46" i="19"/>
  <c r="I47" i="19"/>
  <c r="K8" i="19"/>
  <c r="H8" i="19"/>
  <c r="AJ11" i="20"/>
  <c r="AU12" i="20"/>
  <c r="BY8" i="20"/>
  <c r="V8" i="21" s="1"/>
  <c r="AB8" i="21" s="1"/>
  <c r="AB10" i="21" s="1"/>
  <c r="AI10" i="21" s="1"/>
  <c r="AK10" i="21" s="1"/>
  <c r="AU7" i="20"/>
  <c r="Y9" i="20"/>
  <c r="AJ10" i="20"/>
  <c r="U11" i="20"/>
  <c r="Y10" i="20"/>
  <c r="AU11" i="20"/>
  <c r="BN22" i="20"/>
  <c r="AU10" i="20"/>
  <c r="T76" i="27" l="1"/>
  <c r="N20" i="27"/>
  <c r="T75" i="27"/>
  <c r="Q20" i="27"/>
  <c r="Y35" i="27"/>
  <c r="H88" i="27"/>
  <c r="C55" i="27"/>
  <c r="AI8" i="21"/>
  <c r="AK8" i="21" s="1"/>
  <c r="AL8" i="21" s="1"/>
  <c r="AS14" i="20"/>
  <c r="P41" i="19" s="1"/>
  <c r="AU13" i="20"/>
  <c r="I37" i="19"/>
  <c r="E31" i="19"/>
  <c r="Y20" i="19" s="1"/>
  <c r="BY10" i="20"/>
  <c r="N25" i="19"/>
  <c r="AR11" i="20"/>
  <c r="I38" i="19"/>
  <c r="BZ8" i="20"/>
  <c r="E30" i="19" s="1"/>
  <c r="Y19" i="19" s="1"/>
  <c r="K31" i="19"/>
  <c r="K11" i="19"/>
  <c r="AR10" i="20"/>
  <c r="AU14" i="20"/>
  <c r="U12" i="20"/>
  <c r="Y11" i="20"/>
  <c r="K32" i="19" l="1"/>
  <c r="Y4" i="19"/>
  <c r="R30" i="19"/>
  <c r="I44" i="19"/>
  <c r="I45" i="19"/>
  <c r="K30" i="19"/>
  <c r="H11" i="19"/>
  <c r="BZ10" i="20"/>
  <c r="Y18" i="19" s="1"/>
  <c r="U13" i="20"/>
  <c r="Y12" i="20"/>
  <c r="R32" i="19" l="1"/>
  <c r="E32" i="19"/>
  <c r="U14" i="20"/>
  <c r="Y13" i="20"/>
  <c r="Y14" i="20" l="1"/>
  <c r="U15" i="20"/>
  <c r="Y15" i="20" l="1"/>
  <c r="U16" i="20"/>
  <c r="Y16" i="20" l="1"/>
  <c r="U17" i="20"/>
  <c r="Y17" i="20" l="1"/>
  <c r="U18" i="20"/>
  <c r="U19" i="20" l="1"/>
  <c r="Y18" i="20"/>
  <c r="U20" i="20" l="1"/>
  <c r="Y19" i="20"/>
  <c r="Y20" i="20" l="1"/>
  <c r="U21" i="20"/>
  <c r="Y21" i="20" l="1"/>
  <c r="U22" i="20"/>
  <c r="Y22" i="20" l="1"/>
  <c r="U23" i="20"/>
  <c r="U24" i="20" l="1"/>
  <c r="Y23" i="20"/>
  <c r="Y24" i="20" l="1"/>
  <c r="U25" i="20"/>
  <c r="U26" i="20" l="1"/>
  <c r="Y25" i="20"/>
  <c r="U27" i="20" l="1"/>
  <c r="Y26" i="20"/>
  <c r="Y27" i="20" l="1"/>
  <c r="U28" i="20"/>
  <c r="Y28" i="20" l="1"/>
  <c r="U29" i="20"/>
  <c r="Y29" i="20" l="1"/>
  <c r="U30" i="20"/>
  <c r="U31" i="20" l="1"/>
  <c r="Y30" i="20"/>
  <c r="U32" i="20" l="1"/>
  <c r="Y31" i="20"/>
  <c r="U33" i="20" l="1"/>
  <c r="Y32" i="20"/>
  <c r="U34" i="20" l="1"/>
  <c r="Y33" i="20"/>
  <c r="U35" i="20" l="1"/>
  <c r="Y34" i="20"/>
  <c r="Y35" i="20" l="1"/>
  <c r="U36" i="20"/>
  <c r="Y36" i="20" l="1"/>
  <c r="U37" i="20"/>
  <c r="Y37" i="20" l="1"/>
  <c r="U38" i="20"/>
  <c r="U39" i="20" l="1"/>
  <c r="Y38" i="20"/>
  <c r="Y39" i="20" l="1"/>
  <c r="U40" i="20"/>
  <c r="Y40" i="20" l="1"/>
  <c r="U41" i="20"/>
  <c r="U42" i="20" l="1"/>
  <c r="Y41" i="20"/>
  <c r="Y42" i="20" l="1"/>
  <c r="U43" i="20"/>
  <c r="U44" i="20" l="1"/>
  <c r="Y43" i="20"/>
  <c r="Y44" i="20" l="1"/>
  <c r="U45" i="20"/>
  <c r="Y45" i="20" l="1"/>
  <c r="U46" i="20"/>
  <c r="Y46" i="20" l="1"/>
  <c r="U47" i="20"/>
  <c r="Y47" i="20" l="1"/>
  <c r="U48" i="20"/>
  <c r="Y48" i="20" l="1"/>
  <c r="U49" i="20"/>
  <c r="Y49" i="20" l="1"/>
  <c r="U50" i="20"/>
  <c r="U51" i="20" l="1"/>
  <c r="Y50" i="20"/>
  <c r="U52" i="20" l="1"/>
  <c r="Y51" i="20"/>
  <c r="Y52" i="20" l="1"/>
  <c r="U53" i="20"/>
  <c r="U54" i="20" l="1"/>
  <c r="Y53" i="20"/>
  <c r="U55" i="20" l="1"/>
  <c r="Y54" i="20"/>
  <c r="Y55" i="20" l="1"/>
  <c r="U56" i="20"/>
  <c r="U57" i="20" l="1"/>
  <c r="Y56" i="20"/>
  <c r="Y57" i="20" l="1"/>
  <c r="U58" i="20"/>
  <c r="U59" i="20" l="1"/>
  <c r="Y58" i="20"/>
  <c r="Y59" i="20" l="1"/>
  <c r="U60" i="20"/>
  <c r="U61" i="20" l="1"/>
  <c r="Y60" i="20"/>
  <c r="U62" i="20" l="1"/>
  <c r="Y61" i="20"/>
  <c r="Y62" i="20" l="1"/>
  <c r="U63" i="20"/>
  <c r="Y63" i="20" l="1"/>
  <c r="U64" i="20"/>
  <c r="Y64" i="20" l="1"/>
  <c r="U65" i="20"/>
  <c r="U66" i="20" l="1"/>
  <c r="Y65" i="20"/>
  <c r="U67" i="20" l="1"/>
  <c r="Y66" i="20"/>
  <c r="Y67" i="20" l="1"/>
  <c r="U68" i="20"/>
  <c r="U69" i="20" l="1"/>
  <c r="Y68" i="20"/>
  <c r="Y69" i="20" l="1"/>
  <c r="U70" i="20"/>
  <c r="Y70" i="20" l="1"/>
  <c r="U71" i="20"/>
  <c r="U72" i="20" l="1"/>
  <c r="Y71" i="20"/>
  <c r="U73" i="20" l="1"/>
  <c r="Y72" i="20"/>
  <c r="U74" i="20" l="1"/>
  <c r="Y73" i="20"/>
  <c r="U75" i="20" l="1"/>
  <c r="Y74" i="20"/>
  <c r="Y75" i="20" l="1"/>
  <c r="U76" i="20"/>
  <c r="U77" i="20" l="1"/>
  <c r="Y76" i="20"/>
  <c r="Y77" i="20" l="1"/>
  <c r="U78" i="20"/>
  <c r="U79" i="20" l="1"/>
  <c r="Y78" i="20"/>
  <c r="Y79" i="20" l="1"/>
  <c r="U80" i="20"/>
  <c r="U81" i="20" l="1"/>
  <c r="Y80" i="20"/>
  <c r="Y81" i="20" l="1"/>
  <c r="U82" i="20"/>
  <c r="U83" i="20" l="1"/>
  <c r="Y83" i="20" s="1"/>
  <c r="Y82" i="20"/>
  <c r="AQ8" i="20" l="1"/>
  <c r="AQ12" i="20"/>
  <c r="M46" i="19" s="1"/>
  <c r="AQ11" i="20"/>
  <c r="M45" i="19" s="1"/>
  <c r="AQ9" i="20"/>
  <c r="AQ6" i="20"/>
  <c r="AQ4" i="20"/>
  <c r="AV4" i="20" s="1"/>
  <c r="AW4" i="20" s="1"/>
  <c r="AQ14" i="20"/>
  <c r="M48" i="19" s="1"/>
  <c r="AQ13" i="20"/>
  <c r="M47" i="19" s="1"/>
  <c r="AQ10" i="20"/>
  <c r="M44" i="19" s="1"/>
  <c r="AQ7" i="20"/>
  <c r="AQ5" i="20"/>
  <c r="AV5" i="20" s="1"/>
  <c r="AW5" i="20" s="1"/>
  <c r="AX5" i="20" s="1"/>
  <c r="AH30" i="21" l="1"/>
  <c r="BA5" i="20" s="1"/>
  <c r="AX4" i="20"/>
  <c r="AV9" i="20"/>
  <c r="AW9" i="20" s="1"/>
  <c r="AX9" i="20" s="1"/>
  <c r="AV14" i="20"/>
  <c r="AW14" i="20" s="1"/>
  <c r="AV11" i="20"/>
  <c r="AW11" i="20" s="1"/>
  <c r="AV13" i="20"/>
  <c r="AW13" i="20" s="1"/>
  <c r="AV7" i="20"/>
  <c r="AW7" i="20" s="1"/>
  <c r="AV12" i="20"/>
  <c r="AW12" i="20" s="1"/>
  <c r="AV10" i="20"/>
  <c r="AW10" i="20" s="1"/>
  <c r="AV6" i="20"/>
  <c r="AW6" i="20" s="1"/>
  <c r="AX6" i="20" s="1"/>
  <c r="AV8" i="20"/>
  <c r="AW8" i="20" s="1"/>
  <c r="AX8" i="20" s="1"/>
  <c r="BG5" i="20" l="1"/>
  <c r="BH5" i="20" s="1"/>
  <c r="BI5" i="20"/>
  <c r="D36" i="19"/>
  <c r="I72" i="19"/>
  <c r="AH34" i="21"/>
  <c r="BA9" i="20" s="1"/>
  <c r="AH31" i="21"/>
  <c r="BA6" i="20" s="1"/>
  <c r="AH33" i="21"/>
  <c r="BA8" i="20" s="1"/>
  <c r="AH29" i="21"/>
  <c r="BA4" i="20" s="1"/>
  <c r="AZ10" i="20"/>
  <c r="AX10" i="20"/>
  <c r="AX7" i="20"/>
  <c r="AZ11" i="20"/>
  <c r="AX11" i="20"/>
  <c r="AZ14" i="20"/>
  <c r="AX14" i="20"/>
  <c r="AZ13" i="20"/>
  <c r="AX13" i="20"/>
  <c r="AZ12" i="20"/>
  <c r="AX12" i="20"/>
  <c r="S40" i="19"/>
  <c r="S39" i="19"/>
  <c r="S41" i="19"/>
  <c r="Y8" i="19"/>
  <c r="Y7" i="19"/>
  <c r="BF12" i="20"/>
  <c r="L39" i="19" s="1"/>
  <c r="BF14" i="20"/>
  <c r="L41" i="19" s="1"/>
  <c r="BF13" i="20"/>
  <c r="L40" i="19" s="1"/>
  <c r="BI8" i="20" l="1"/>
  <c r="BG8" i="20"/>
  <c r="BH8" i="20" s="1"/>
  <c r="BI6" i="20"/>
  <c r="BG6" i="20"/>
  <c r="BH6" i="20" s="1"/>
  <c r="BI9" i="20"/>
  <c r="BG9" i="20"/>
  <c r="BH9" i="20" s="1"/>
  <c r="BC10" i="20"/>
  <c r="AJ35" i="21"/>
  <c r="BC11" i="20"/>
  <c r="M38" i="19" s="1"/>
  <c r="AJ36" i="21"/>
  <c r="AH32" i="21"/>
  <c r="BA7" i="20" s="1"/>
  <c r="AH36" i="21"/>
  <c r="BA11" i="20" s="1"/>
  <c r="AH35" i="21"/>
  <c r="BA10" i="20" s="1"/>
  <c r="BI4" i="20"/>
  <c r="BG4" i="20"/>
  <c r="BH4" i="20" s="1"/>
  <c r="D35" i="19"/>
  <c r="BD4" i="20"/>
  <c r="BE4" i="20" s="1"/>
  <c r="I71" i="19"/>
  <c r="O74" i="19"/>
  <c r="M40" i="19"/>
  <c r="M41" i="19"/>
  <c r="AY13" i="20"/>
  <c r="AY12" i="20"/>
  <c r="AY14" i="20"/>
  <c r="BG7" i="20" l="1"/>
  <c r="BH7" i="20" s="1"/>
  <c r="BI7" i="20"/>
  <c r="BG11" i="20"/>
  <c r="G45" i="19" s="1"/>
  <c r="D38" i="19"/>
  <c r="D45" i="19" s="1"/>
  <c r="I74" i="19"/>
  <c r="BI11" i="20"/>
  <c r="BD11" i="20"/>
  <c r="BE11" i="20" s="1"/>
  <c r="G38" i="19" s="1"/>
  <c r="D37" i="19"/>
  <c r="D44" i="19" s="1"/>
  <c r="BG10" i="20"/>
  <c r="BH10" i="20" s="1"/>
  <c r="P44" i="19" s="1"/>
  <c r="BI10" i="20"/>
  <c r="I73" i="19"/>
  <c r="BH11" i="20"/>
  <c r="P45" i="19" s="1"/>
  <c r="O76" i="19"/>
  <c r="M39" i="19"/>
  <c r="O75" i="19"/>
  <c r="O77" i="19"/>
  <c r="BA12" i="20"/>
  <c r="AI37" i="21"/>
  <c r="BA14" i="20"/>
  <c r="AI39" i="21"/>
  <c r="AI38" i="21"/>
  <c r="BA13" i="20"/>
  <c r="G44" i="19" l="1"/>
  <c r="K45" i="19"/>
  <c r="K44" i="19"/>
  <c r="S74" i="19"/>
  <c r="BG14" i="20"/>
  <c r="BI14" i="20"/>
  <c r="I77" i="19"/>
  <c r="BB14" i="20"/>
  <c r="D41" i="19"/>
  <c r="D48" i="19" s="1"/>
  <c r="I76" i="19"/>
  <c r="BB13" i="20"/>
  <c r="BG13" i="20"/>
  <c r="D40" i="19"/>
  <c r="D47" i="19" s="1"/>
  <c r="BI13" i="20"/>
  <c r="D39" i="19"/>
  <c r="D46" i="19" s="1"/>
  <c r="BG12" i="20"/>
  <c r="BB12" i="20"/>
  <c r="BI12" i="20"/>
  <c r="I75" i="19"/>
  <c r="K46" i="19" l="1"/>
  <c r="BH12" i="20"/>
  <c r="P46" i="19" s="1"/>
  <c r="G46" i="19"/>
  <c r="G47" i="19"/>
  <c r="K47" i="19"/>
  <c r="BH13" i="20"/>
  <c r="P47" i="19" s="1"/>
  <c r="BD14" i="20"/>
  <c r="BE14" i="20" s="1"/>
  <c r="L77" i="19"/>
  <c r="L76" i="19"/>
  <c r="BD13" i="20"/>
  <c r="BE13" i="20" s="1"/>
  <c r="L75" i="19"/>
  <c r="BD12" i="20"/>
  <c r="BE12" i="20" s="1"/>
  <c r="BH14" i="20"/>
  <c r="P48" i="19" s="1"/>
  <c r="G48" i="19"/>
  <c r="K48" i="19"/>
  <c r="H12" i="18"/>
  <c r="D36" i="18"/>
  <c r="Y25" i="19" s="1"/>
  <c r="D35" i="18"/>
  <c r="D34" i="18"/>
  <c r="J34" i="18" s="1"/>
  <c r="Y23" i="19" s="1"/>
  <c r="D33" i="18"/>
  <c r="D32" i="18"/>
  <c r="J35" i="18"/>
  <c r="K24" i="18"/>
  <c r="D22" i="18"/>
  <c r="D21" i="18"/>
  <c r="K22" i="18"/>
  <c r="D19" i="18"/>
  <c r="C17" i="18"/>
  <c r="C26" i="18"/>
  <c r="F19" i="18" l="1"/>
  <c r="F29" i="18"/>
  <c r="S77" i="19"/>
  <c r="G41" i="19"/>
  <c r="K25" i="18"/>
  <c r="BN6" i="20"/>
  <c r="Y9" i="19"/>
  <c r="S75" i="19"/>
  <c r="G39" i="19"/>
  <c r="D20" i="18"/>
  <c r="S76" i="19"/>
  <c r="G40" i="19"/>
  <c r="F28" i="18"/>
  <c r="H22" i="18"/>
  <c r="G26" i="18" s="1"/>
  <c r="G27" i="18" s="1"/>
  <c r="J33" i="18"/>
  <c r="K23" i="18"/>
  <c r="Y28" i="19" l="1"/>
  <c r="Y27" i="19"/>
  <c r="S64" i="19"/>
  <c r="BN8" i="20"/>
  <c r="H20" i="19" s="1"/>
  <c r="BN21" i="20"/>
  <c r="E20" i="19" s="1"/>
  <c r="BN13" i="20"/>
  <c r="BN9" i="20"/>
  <c r="BN19" i="20"/>
  <c r="U67" i="19" s="1"/>
  <c r="BN15" i="20"/>
  <c r="S20" i="19" s="1"/>
  <c r="BN12" i="20"/>
  <c r="BN11" i="20"/>
  <c r="J32" i="18"/>
  <c r="Y29" i="19"/>
  <c r="C41" i="19" s="1"/>
  <c r="F18" i="18"/>
  <c r="G16" i="18"/>
  <c r="G17" i="18" s="1"/>
  <c r="H77" i="19" l="1"/>
  <c r="Y30" i="19"/>
  <c r="N20" i="19"/>
  <c r="T68" i="19"/>
  <c r="T67" i="19"/>
  <c r="Q20" i="19"/>
  <c r="C48" i="19" l="1"/>
  <c r="L66" i="15"/>
  <c r="D32" i="9" l="1"/>
  <c r="D31" i="9"/>
  <c r="D30" i="9"/>
  <c r="D29" i="9"/>
  <c r="D28" i="9"/>
  <c r="Y27" i="27" l="1"/>
  <c r="Y22" i="19"/>
  <c r="AE57" i="16"/>
  <c r="AE56" i="16"/>
  <c r="AE55" i="16"/>
  <c r="AE54" i="16"/>
  <c r="AE53" i="16"/>
  <c r="AE52" i="16"/>
  <c r="AE51" i="16"/>
  <c r="AE50" i="16"/>
  <c r="AE49" i="16"/>
  <c r="AE48" i="16"/>
  <c r="AE47" i="16"/>
  <c r="AE46" i="16"/>
  <c r="AE45" i="16"/>
  <c r="AE44" i="16"/>
  <c r="AE43" i="16"/>
  <c r="AE42" i="16"/>
  <c r="AE41" i="16"/>
  <c r="AE40" i="16"/>
  <c r="AE39" i="16"/>
  <c r="AE38" i="16"/>
  <c r="AE37" i="16"/>
  <c r="AE36" i="16"/>
  <c r="AE35" i="16"/>
  <c r="AE34" i="16"/>
  <c r="AE33" i="16"/>
  <c r="AE32" i="16"/>
  <c r="AE31" i="16"/>
  <c r="C7" i="16" l="1"/>
  <c r="C8" i="16"/>
  <c r="C9" i="16"/>
  <c r="C10" i="16"/>
  <c r="C11" i="16"/>
  <c r="C12" i="16"/>
  <c r="C13" i="16"/>
  <c r="C14" i="16"/>
  <c r="C15" i="16"/>
  <c r="C16" i="16"/>
  <c r="C17" i="16"/>
  <c r="C18" i="16"/>
  <c r="C19" i="16"/>
  <c r="C20" i="16"/>
  <c r="C21" i="16"/>
  <c r="C22" i="16"/>
  <c r="C23" i="16"/>
  <c r="C24" i="16"/>
  <c r="C25" i="16"/>
  <c r="C26" i="16"/>
  <c r="C27" i="16"/>
  <c r="C28" i="16"/>
  <c r="C29" i="16"/>
  <c r="C30" i="16"/>
  <c r="C31" i="16"/>
  <c r="C32" i="16"/>
  <c r="C33" i="16"/>
  <c r="C34" i="16"/>
  <c r="C6" i="16"/>
  <c r="AE6" i="16"/>
  <c r="AE7" i="16"/>
  <c r="AE8" i="16"/>
  <c r="AE5" i="16"/>
  <c r="AE4" i="16"/>
  <c r="AJ8" i="16" l="1"/>
  <c r="AJ7" i="16"/>
  <c r="AJ6" i="16"/>
  <c r="AA7" i="16"/>
  <c r="AF7" i="16"/>
  <c r="AG7" i="16" s="1"/>
  <c r="AA8" i="16"/>
  <c r="AF8" i="16"/>
  <c r="AG8" i="16" s="1"/>
  <c r="AF5" i="16"/>
  <c r="AG5" i="16" s="1"/>
  <c r="AA5" i="16"/>
  <c r="AF4" i="16"/>
  <c r="AG4" i="16" s="1"/>
  <c r="AA4" i="16"/>
  <c r="S6" i="16"/>
  <c r="AF6" i="16"/>
  <c r="AG6" i="16" s="1"/>
  <c r="AA6" i="16"/>
  <c r="G22" i="9" l="1"/>
  <c r="AE32" i="11" l="1"/>
  <c r="D23" i="9"/>
  <c r="D24" i="9"/>
  <c r="D22" i="9" s="1"/>
  <c r="D25" i="9"/>
  <c r="S66" i="15"/>
  <c r="M58" i="15"/>
  <c r="I34" i="15"/>
  <c r="S33" i="15"/>
  <c r="L33" i="15"/>
  <c r="S32" i="15"/>
  <c r="L32" i="15"/>
  <c r="I32" i="15"/>
  <c r="G32" i="15"/>
  <c r="T25" i="15"/>
  <c r="R25" i="15"/>
  <c r="P25" i="15"/>
  <c r="N25" i="15"/>
  <c r="K29" i="15" s="1"/>
  <c r="L25" i="15"/>
  <c r="H12" i="15" s="1"/>
  <c r="J25" i="15"/>
  <c r="H25" i="15"/>
  <c r="E25" i="15"/>
  <c r="E16" i="15"/>
  <c r="N16" i="15" s="1"/>
  <c r="I62" i="15" s="1"/>
  <c r="T9" i="15"/>
  <c r="T10" i="15" s="1"/>
  <c r="H9" i="15"/>
  <c r="J31" i="9" l="1"/>
  <c r="Y17" i="15" s="1"/>
  <c r="D21" i="9"/>
  <c r="G25" i="9"/>
  <c r="G23" i="9"/>
  <c r="S59" i="15"/>
  <c r="U63" i="15" s="1"/>
  <c r="H11" i="15"/>
  <c r="N20" i="15"/>
  <c r="K20" i="15"/>
  <c r="H8" i="15" s="1"/>
  <c r="E20" i="15"/>
  <c r="Q20" i="15"/>
  <c r="Y9" i="15"/>
  <c r="H20" i="15"/>
  <c r="S20" i="15"/>
  <c r="Y11" i="15"/>
  <c r="T16" i="15"/>
  <c r="H16" i="15"/>
  <c r="L16" i="15"/>
  <c r="K63" i="15" s="1"/>
  <c r="J58" i="15"/>
  <c r="P16" i="15"/>
  <c r="K62" i="15" s="1"/>
  <c r="J16" i="15"/>
  <c r="I63" i="15" s="1"/>
  <c r="R16" i="15"/>
  <c r="BK39" i="11"/>
  <c r="BH6" i="11"/>
  <c r="BH9" i="11" s="1"/>
  <c r="BL6" i="11"/>
  <c r="T12" i="15"/>
  <c r="G24" i="9"/>
  <c r="BL11" i="11" l="1"/>
  <c r="BL14" i="11"/>
  <c r="BL10" i="11"/>
  <c r="BL9" i="11"/>
  <c r="BL13" i="11"/>
  <c r="BL8" i="11"/>
  <c r="G13" i="9"/>
  <c r="I9" i="15" s="1"/>
  <c r="Y12" i="15" s="1"/>
  <c r="AE12" i="11"/>
  <c r="T62" i="15"/>
  <c r="Y10" i="15"/>
  <c r="AO5" i="11"/>
  <c r="AO4" i="11"/>
  <c r="T11" i="15"/>
  <c r="J60" i="15"/>
  <c r="BH15" i="11"/>
  <c r="BH11" i="11"/>
  <c r="BH19" i="11"/>
  <c r="BH12" i="11"/>
  <c r="BH8" i="11"/>
  <c r="BH13" i="11"/>
  <c r="BL17" i="11"/>
  <c r="BL16" i="11"/>
  <c r="BL19" i="11"/>
  <c r="Y18" i="15"/>
  <c r="F64" i="15" l="1"/>
  <c r="U62" i="15"/>
  <c r="T63" i="15"/>
  <c r="Y4" i="15"/>
  <c r="V6" i="16"/>
  <c r="AJ4" i="16" s="1"/>
  <c r="AB6" i="21"/>
  <c r="AI6" i="21" s="1"/>
  <c r="AK6" i="21" s="1"/>
  <c r="AB7" i="21"/>
  <c r="AI7" i="21" s="1"/>
  <c r="AK7" i="21" s="1"/>
  <c r="AB4" i="21"/>
  <c r="AI4" i="21" s="1"/>
  <c r="AK4" i="21" s="1"/>
  <c r="AB5" i="21"/>
  <c r="AI5" i="21" s="1"/>
  <c r="AK5" i="21" s="1"/>
  <c r="I8" i="15"/>
  <c r="J29" i="9"/>
  <c r="J30" i="9"/>
  <c r="Y16" i="15" s="1"/>
  <c r="P32" i="15"/>
  <c r="P33" i="15"/>
  <c r="AE15" i="11"/>
  <c r="AG19" i="11"/>
  <c r="AG21" i="11" s="1"/>
  <c r="AG18" i="11"/>
  <c r="AI9" i="11" s="1"/>
  <c r="AN9" i="11"/>
  <c r="AB58" i="11"/>
  <c r="AB57" i="11"/>
  <c r="AB56" i="11"/>
  <c r="AB55" i="11"/>
  <c r="AB54" i="11"/>
  <c r="AB53" i="11"/>
  <c r="AC44" i="11"/>
  <c r="AC43" i="11"/>
  <c r="AB44" i="11" s="1"/>
  <c r="AC42" i="11"/>
  <c r="AB43" i="11" s="1"/>
  <c r="AC41" i="11"/>
  <c r="AB42" i="11" s="1"/>
  <c r="AC40" i="11"/>
  <c r="AB41" i="11" s="1"/>
  <c r="AC39" i="11"/>
  <c r="AB40" i="11" s="1"/>
  <c r="AC38" i="11"/>
  <c r="AB39" i="11" s="1"/>
  <c r="AC37" i="11"/>
  <c r="AB38" i="11" s="1"/>
  <c r="AC36" i="11"/>
  <c r="AB37" i="11" s="1"/>
  <c r="AC35" i="11"/>
  <c r="AB36" i="11" s="1"/>
  <c r="AC34" i="11"/>
  <c r="AB35" i="11" s="1"/>
  <c r="M34" i="11"/>
  <c r="H34" i="11"/>
  <c r="AC33" i="11"/>
  <c r="AB34" i="11" s="1"/>
  <c r="M33" i="11"/>
  <c r="H33" i="11"/>
  <c r="AC32" i="11"/>
  <c r="AB33" i="11" s="1"/>
  <c r="M32" i="11"/>
  <c r="H32" i="11"/>
  <c r="AC31" i="11"/>
  <c r="AB32" i="11" s="1"/>
  <c r="M31" i="11"/>
  <c r="H31" i="11"/>
  <c r="AC30" i="11"/>
  <c r="AB31" i="11" s="1"/>
  <c r="M30" i="11"/>
  <c r="H30" i="11"/>
  <c r="AC29" i="11"/>
  <c r="AB30" i="11" s="1"/>
  <c r="M29" i="11"/>
  <c r="H29" i="11"/>
  <c r="AC28" i="11"/>
  <c r="AB29" i="11" s="1"/>
  <c r="M28" i="11"/>
  <c r="H28" i="11"/>
  <c r="AC27" i="11"/>
  <c r="AB28" i="11" s="1"/>
  <c r="M27" i="11"/>
  <c r="H27" i="11"/>
  <c r="AC26" i="11"/>
  <c r="AB27" i="11" s="1"/>
  <c r="M26" i="11"/>
  <c r="H26" i="11"/>
  <c r="AC25" i="11"/>
  <c r="AB26" i="11" s="1"/>
  <c r="M25" i="11"/>
  <c r="H25" i="11"/>
  <c r="AE20" i="11"/>
  <c r="AC24" i="11"/>
  <c r="AB25" i="11" s="1"/>
  <c r="M24" i="11"/>
  <c r="H24" i="11"/>
  <c r="AC23" i="11"/>
  <c r="AB24" i="11" s="1"/>
  <c r="M23" i="11"/>
  <c r="H23" i="11"/>
  <c r="AE18" i="11"/>
  <c r="AC22" i="11"/>
  <c r="AB23" i="11" s="1"/>
  <c r="M22" i="11"/>
  <c r="H22" i="11"/>
  <c r="AC21" i="11"/>
  <c r="AB22" i="11" s="1"/>
  <c r="M21" i="11"/>
  <c r="H21" i="11"/>
  <c r="AC20" i="11"/>
  <c r="AB21" i="11" s="1"/>
  <c r="M20" i="11"/>
  <c r="H20" i="11"/>
  <c r="AC19" i="11"/>
  <c r="AB20" i="11" s="1"/>
  <c r="M19" i="11"/>
  <c r="H19" i="11"/>
  <c r="AC18" i="11"/>
  <c r="AB19" i="11" s="1"/>
  <c r="M18" i="11"/>
  <c r="H18" i="11"/>
  <c r="AC17" i="11"/>
  <c r="AB18" i="11" s="1"/>
  <c r="M17" i="11"/>
  <c r="H17" i="11"/>
  <c r="AC16" i="11"/>
  <c r="AB17" i="11" s="1"/>
  <c r="M16" i="11"/>
  <c r="H16" i="11"/>
  <c r="AC15" i="11"/>
  <c r="AB16" i="11" s="1"/>
  <c r="M15" i="11"/>
  <c r="H15" i="11"/>
  <c r="AC14" i="11"/>
  <c r="AB15" i="11" s="1"/>
  <c r="M14" i="11"/>
  <c r="H14" i="11"/>
  <c r="AC13" i="11"/>
  <c r="AB14" i="11" s="1"/>
  <c r="M13" i="11"/>
  <c r="H13" i="11"/>
  <c r="AC12" i="11"/>
  <c r="AB13" i="11" s="1"/>
  <c r="M12" i="11"/>
  <c r="H12" i="11"/>
  <c r="AC11" i="11"/>
  <c r="AB12" i="11" s="1"/>
  <c r="M11" i="11"/>
  <c r="H11" i="11"/>
  <c r="AC10" i="11"/>
  <c r="AB11" i="11" s="1"/>
  <c r="M10" i="11"/>
  <c r="H10" i="11"/>
  <c r="AC9" i="11"/>
  <c r="AB10" i="11" s="1"/>
  <c r="AB9" i="11"/>
  <c r="U9" i="11"/>
  <c r="U10" i="11" s="1"/>
  <c r="M9" i="11"/>
  <c r="H9" i="11"/>
  <c r="AN8" i="11"/>
  <c r="Y8" i="11"/>
  <c r="M8" i="11"/>
  <c r="H8" i="11"/>
  <c r="AN7" i="11"/>
  <c r="AN6" i="11"/>
  <c r="AQ5" i="11"/>
  <c r="AQ4" i="11"/>
  <c r="AN4" i="11"/>
  <c r="AI2" i="11"/>
  <c r="Y22" i="15" l="1"/>
  <c r="AT8" i="11"/>
  <c r="AT7" i="11"/>
  <c r="Y15" i="15"/>
  <c r="AJ5" i="16"/>
  <c r="Q62" i="15"/>
  <c r="AL4" i="21"/>
  <c r="AM4" i="21" s="1"/>
  <c r="I40" i="15"/>
  <c r="AI6" i="11"/>
  <c r="Y9" i="11"/>
  <c r="AI8" i="11"/>
  <c r="AI7" i="11"/>
  <c r="AG20" i="11"/>
  <c r="AO9" i="11"/>
  <c r="AO8" i="11"/>
  <c r="P36" i="15" s="1"/>
  <c r="U11" i="11"/>
  <c r="Y10" i="11"/>
  <c r="BK42" i="11"/>
  <c r="AO7" i="11"/>
  <c r="P35" i="15" s="1"/>
  <c r="AO6" i="11"/>
  <c r="J28" i="9"/>
  <c r="D9" i="9"/>
  <c r="Y21" i="15" l="1"/>
  <c r="Y20" i="15"/>
  <c r="Y23" i="15" s="1"/>
  <c r="P34" i="15"/>
  <c r="V11" i="16"/>
  <c r="Q58" i="15"/>
  <c r="AQ8" i="11"/>
  <c r="AQ9" i="11"/>
  <c r="AQ6" i="11"/>
  <c r="AQ7" i="11"/>
  <c r="U12" i="11"/>
  <c r="Y11" i="11"/>
  <c r="BK45" i="11"/>
  <c r="J12" i="9"/>
  <c r="L36" i="15" l="1"/>
  <c r="L35" i="15"/>
  <c r="AV9" i="11"/>
  <c r="AY9" i="11" s="1"/>
  <c r="BB9" i="11"/>
  <c r="R29" i="15"/>
  <c r="E29" i="15"/>
  <c r="AV6" i="11"/>
  <c r="AY6" i="11" s="1"/>
  <c r="O68" i="15" s="1"/>
  <c r="BB6" i="11"/>
  <c r="L34" i="15" s="1"/>
  <c r="AV8" i="11"/>
  <c r="BB8" i="11"/>
  <c r="AV7" i="11"/>
  <c r="AJ32" i="16" s="1"/>
  <c r="BB7" i="11"/>
  <c r="AJ33" i="16"/>
  <c r="AY8" i="11"/>
  <c r="AB8" i="16"/>
  <c r="AI8" i="16" s="1"/>
  <c r="AK8" i="16" s="1"/>
  <c r="AB7" i="16"/>
  <c r="AI7" i="16" s="1"/>
  <c r="AK7" i="16" s="1"/>
  <c r="AB6" i="16"/>
  <c r="AI6" i="16" s="1"/>
  <c r="AK6" i="16" s="1"/>
  <c r="F69" i="15"/>
  <c r="F62" i="15"/>
  <c r="F63" i="15"/>
  <c r="F67" i="15"/>
  <c r="F68" i="15"/>
  <c r="AF4" i="11"/>
  <c r="AF5" i="11"/>
  <c r="G14" i="9"/>
  <c r="U13" i="11"/>
  <c r="Y12" i="11"/>
  <c r="M3" i="10" a="1"/>
  <c r="M3" i="10" s="1"/>
  <c r="AY7" i="11" l="1"/>
  <c r="M35" i="15" s="1"/>
  <c r="O69" i="15"/>
  <c r="M36" i="15"/>
  <c r="O70" i="15"/>
  <c r="AJ31" i="16"/>
  <c r="M32" i="15"/>
  <c r="O66" i="15"/>
  <c r="J9" i="15"/>
  <c r="J8" i="15" s="1"/>
  <c r="V5" i="16"/>
  <c r="V7" i="16" s="1"/>
  <c r="AL6" i="16"/>
  <c r="I33" i="15"/>
  <c r="F15" i="9"/>
  <c r="H12" i="9"/>
  <c r="AN5" i="11"/>
  <c r="U14" i="11"/>
  <c r="Y13" i="11"/>
  <c r="C20" i="15" l="1"/>
  <c r="Y13" i="15"/>
  <c r="C16" i="15"/>
  <c r="H10" i="15" s="1"/>
  <c r="AB5" i="16"/>
  <c r="AI5" i="16" s="1"/>
  <c r="AK5" i="16" s="1"/>
  <c r="AB4" i="16"/>
  <c r="AI4" i="16" s="1"/>
  <c r="AK4" i="16" s="1"/>
  <c r="I39" i="15"/>
  <c r="F16" i="9"/>
  <c r="U15" i="11"/>
  <c r="Y14" i="11"/>
  <c r="J59" i="15" l="1"/>
  <c r="AL4" i="16"/>
  <c r="AM4" i="16" s="1"/>
  <c r="Y15" i="11"/>
  <c r="U16" i="11"/>
  <c r="M33" i="15" l="1"/>
  <c r="U17" i="11"/>
  <c r="Y16" i="11"/>
  <c r="U18" i="11" l="1"/>
  <c r="Y17" i="11"/>
  <c r="U19" i="11" l="1"/>
  <c r="Y18" i="11"/>
  <c r="U20" i="11" l="1"/>
  <c r="Y19" i="11"/>
  <c r="U21" i="11" l="1"/>
  <c r="Y20" i="11"/>
  <c r="U22" i="11" l="1"/>
  <c r="Y21" i="11"/>
  <c r="Y22" i="11" l="1"/>
  <c r="U23" i="11"/>
  <c r="U24" i="11" l="1"/>
  <c r="Y23" i="11"/>
  <c r="U25" i="11" l="1"/>
  <c r="Y24" i="11"/>
  <c r="U26" i="11" l="1"/>
  <c r="Y25" i="11"/>
  <c r="U27" i="11" l="1"/>
  <c r="Y26" i="11"/>
  <c r="Y27" i="11" l="1"/>
  <c r="U28" i="11"/>
  <c r="U29" i="11" l="1"/>
  <c r="Y28" i="11"/>
  <c r="U30" i="11" l="1"/>
  <c r="Y29" i="11"/>
  <c r="U31" i="11" l="1"/>
  <c r="Y30" i="11"/>
  <c r="U32" i="11" l="1"/>
  <c r="Y31" i="11"/>
  <c r="U33" i="11" l="1"/>
  <c r="Y32" i="11"/>
  <c r="U34" i="11" l="1"/>
  <c r="Y33" i="11"/>
  <c r="Y34" i="11" l="1"/>
  <c r="U35" i="11"/>
  <c r="U36" i="11" l="1"/>
  <c r="Y35" i="11"/>
  <c r="U37" i="11" l="1"/>
  <c r="Y36" i="11"/>
  <c r="Y37" i="11" l="1"/>
  <c r="U38" i="11"/>
  <c r="Y38" i="11" l="1"/>
  <c r="U39" i="11"/>
  <c r="Y39" i="11" l="1"/>
  <c r="U40" i="11"/>
  <c r="Y40" i="11" l="1"/>
  <c r="U41" i="11"/>
  <c r="Y41" i="11" l="1"/>
  <c r="U42" i="11"/>
  <c r="U43" i="11" l="1"/>
  <c r="Y42" i="11"/>
  <c r="Y43" i="11" l="1"/>
  <c r="U44" i="11"/>
  <c r="Y44" i="11" l="1"/>
  <c r="U45" i="11"/>
  <c r="U46" i="11" l="1"/>
  <c r="Y45" i="11"/>
  <c r="Y46" i="11" l="1"/>
  <c r="U47" i="11"/>
  <c r="U48" i="11" l="1"/>
  <c r="Y47" i="11"/>
  <c r="U49" i="11" l="1"/>
  <c r="Y48" i="11"/>
  <c r="U50" i="11" l="1"/>
  <c r="Y49" i="11"/>
  <c r="U51" i="11" l="1"/>
  <c r="Y50" i="11"/>
  <c r="U52" i="11" l="1"/>
  <c r="Y51" i="11"/>
  <c r="U53" i="11" l="1"/>
  <c r="Y52" i="11"/>
  <c r="Y53" i="11" l="1"/>
  <c r="U54" i="11"/>
  <c r="U55" i="11" l="1"/>
  <c r="Y54" i="11"/>
  <c r="U56" i="11" l="1"/>
  <c r="Y55" i="11"/>
  <c r="Y56" i="11" l="1"/>
  <c r="U57" i="11"/>
  <c r="Y57" i="11" l="1"/>
  <c r="U58" i="11"/>
  <c r="U59" i="11" l="1"/>
  <c r="Y58" i="11"/>
  <c r="U60" i="11" l="1"/>
  <c r="Y59" i="11"/>
  <c r="U61" i="11" l="1"/>
  <c r="Y60" i="11"/>
  <c r="U62" i="11" l="1"/>
  <c r="Y61" i="11"/>
  <c r="U63" i="11" l="1"/>
  <c r="Y62" i="11"/>
  <c r="U64" i="11" l="1"/>
  <c r="Y63" i="11"/>
  <c r="U65" i="11" l="1"/>
  <c r="Y64" i="11"/>
  <c r="U66" i="11" l="1"/>
  <c r="Y65" i="11"/>
  <c r="U67" i="11" l="1"/>
  <c r="Y66" i="11"/>
  <c r="Y67" i="11" l="1"/>
  <c r="U68" i="11"/>
  <c r="U69" i="11" l="1"/>
  <c r="Y68" i="11"/>
  <c r="Y69" i="11" l="1"/>
  <c r="U70" i="11"/>
  <c r="U71" i="11" l="1"/>
  <c r="Y70" i="11"/>
  <c r="U72" i="11" l="1"/>
  <c r="Y71" i="11"/>
  <c r="U73" i="11" l="1"/>
  <c r="Y72" i="11"/>
  <c r="Y73" i="11" l="1"/>
  <c r="U74" i="11"/>
  <c r="U75" i="11" l="1"/>
  <c r="Y74" i="11"/>
  <c r="U76" i="11" l="1"/>
  <c r="Y75" i="11"/>
  <c r="Y76" i="11" l="1"/>
  <c r="U77" i="11"/>
  <c r="U78" i="11" l="1"/>
  <c r="Y77" i="11"/>
  <c r="U79" i="11" l="1"/>
  <c r="Y78" i="11"/>
  <c r="Y79" i="11" l="1"/>
  <c r="U80" i="11"/>
  <c r="U81" i="11" l="1"/>
  <c r="Y80" i="11"/>
  <c r="Y81" i="11" l="1"/>
  <c r="U82" i="11"/>
  <c r="U83" i="11" l="1"/>
  <c r="Y83" i="11" s="1"/>
  <c r="AM9" i="11" s="1"/>
  <c r="AR9" i="11" s="1"/>
  <c r="AS9" i="11" s="1"/>
  <c r="AT9" i="11" s="1"/>
  <c r="Y82" i="11"/>
  <c r="AW9" i="11" l="1"/>
  <c r="AM6" i="11"/>
  <c r="AM4" i="11"/>
  <c r="AR4" i="11" s="1"/>
  <c r="AS4" i="11" s="1"/>
  <c r="AT4" i="11" s="1"/>
  <c r="AM8" i="11"/>
  <c r="AR8" i="11" s="1"/>
  <c r="AS8" i="11" s="1"/>
  <c r="AM7" i="11"/>
  <c r="AR7" i="11" s="1"/>
  <c r="AS7" i="11" s="1"/>
  <c r="AT14" i="11" s="1"/>
  <c r="AM5" i="11"/>
  <c r="AR5" i="11" s="1"/>
  <c r="AS5" i="11" s="1"/>
  <c r="AT5" i="11" s="1"/>
  <c r="AT15" i="11" l="1"/>
  <c r="S35" i="15"/>
  <c r="S36" i="15"/>
  <c r="Y7" i="15"/>
  <c r="Y8" i="15" s="1"/>
  <c r="AK30" i="16"/>
  <c r="AU5" i="11"/>
  <c r="AH30" i="16"/>
  <c r="BE5" i="11"/>
  <c r="AU4" i="11"/>
  <c r="BE4" i="11"/>
  <c r="AH29" i="16"/>
  <c r="AK29" i="16"/>
  <c r="M39" i="15"/>
  <c r="M40" i="15"/>
  <c r="AX9" i="11"/>
  <c r="AZ9" i="11" s="1"/>
  <c r="BA9" i="11" s="1"/>
  <c r="BC9" i="11"/>
  <c r="BD9" i="11" s="1"/>
  <c r="AU9" i="11"/>
  <c r="BE9" i="11"/>
  <c r="AR6" i="11"/>
  <c r="AS6" i="11" s="1"/>
  <c r="AT6" i="11" s="1"/>
  <c r="AU8" i="11" l="1"/>
  <c r="AI29" i="16"/>
  <c r="AX4" i="11" s="1"/>
  <c r="AW4" i="11"/>
  <c r="AW5" i="11"/>
  <c r="I67" i="15" s="1"/>
  <c r="AI30" i="16"/>
  <c r="AX5" i="11" s="1"/>
  <c r="AK32" i="16"/>
  <c r="AH32" i="16"/>
  <c r="AI32" i="16" s="1"/>
  <c r="AX7" i="11" s="1"/>
  <c r="L69" i="15" s="1"/>
  <c r="AH33" i="16"/>
  <c r="AK33" i="16"/>
  <c r="AU7" i="11"/>
  <c r="S34" i="15"/>
  <c r="BE7" i="11"/>
  <c r="BE8" i="11"/>
  <c r="AK31" i="16" l="1"/>
  <c r="AH31" i="16"/>
  <c r="BC5" i="11"/>
  <c r="D33" i="15"/>
  <c r="D39" i="15" s="1"/>
  <c r="AZ5" i="11"/>
  <c r="BA5" i="11" s="1"/>
  <c r="S67" i="15" s="1"/>
  <c r="BC4" i="11"/>
  <c r="BD4" i="11" s="1"/>
  <c r="I66" i="15"/>
  <c r="AZ4" i="11"/>
  <c r="BA4" i="11" s="1"/>
  <c r="D32" i="15"/>
  <c r="AW7" i="11"/>
  <c r="AW8" i="11"/>
  <c r="AI33" i="16"/>
  <c r="AX8" i="11" s="1"/>
  <c r="L70" i="15" s="1"/>
  <c r="AU6" i="11"/>
  <c r="BE6" i="11"/>
  <c r="I70" i="15" l="1"/>
  <c r="D36" i="15"/>
  <c r="D42" i="15" s="1"/>
  <c r="I69" i="15"/>
  <c r="D35" i="15"/>
  <c r="D41" i="15" s="1"/>
  <c r="BC7" i="11"/>
  <c r="K39" i="15"/>
  <c r="G39" i="15"/>
  <c r="BD5" i="11"/>
  <c r="P39" i="15" s="1"/>
  <c r="G33" i="15"/>
  <c r="AZ7" i="11"/>
  <c r="BA7" i="11" s="1"/>
  <c r="BC8" i="11"/>
  <c r="AZ8" i="11"/>
  <c r="BA8" i="11" s="1"/>
  <c r="AI31" i="16"/>
  <c r="AX6" i="11" s="1"/>
  <c r="L68" i="15" s="1"/>
  <c r="AW6" i="11"/>
  <c r="I68" i="15" s="1"/>
  <c r="G36" i="15" l="1"/>
  <c r="S70" i="15"/>
  <c r="G35" i="15"/>
  <c r="S69" i="15"/>
  <c r="BD8" i="11"/>
  <c r="P42" i="15" s="1"/>
  <c r="K42" i="15"/>
  <c r="G42" i="15"/>
  <c r="BD7" i="11"/>
  <c r="P41" i="15" s="1"/>
  <c r="G41" i="15"/>
  <c r="K41" i="15"/>
  <c r="M34" i="15"/>
  <c r="BC6" i="11"/>
  <c r="D34" i="15"/>
  <c r="D40" i="15" s="1"/>
  <c r="AZ6" i="11"/>
  <c r="BA6" i="11" s="1"/>
  <c r="S68" i="15" s="1"/>
  <c r="BD6" i="11" l="1"/>
  <c r="K40" i="15"/>
  <c r="G40" i="15"/>
  <c r="G34" i="15"/>
  <c r="O72" i="19"/>
  <c r="BD7" i="20" l="1"/>
  <c r="BE7" i="20" s="1"/>
  <c r="P40" i="15"/>
  <c r="M36" i="19"/>
  <c r="O73" i="19"/>
  <c r="BD10" i="20" l="1"/>
  <c r="BE10" i="20" s="1"/>
  <c r="G37" i="19" s="1"/>
  <c r="M37" i="19"/>
  <c r="S73" i="19" l="1"/>
</calcChain>
</file>

<file path=xl/sharedStrings.xml><?xml version="1.0" encoding="utf-8"?>
<sst xmlns="http://schemas.openxmlformats.org/spreadsheetml/2006/main" count="3166" uniqueCount="784">
  <si>
    <t>Temp. Factor</t>
  </si>
  <si>
    <t>Fill Factor</t>
  </si>
  <si>
    <t>Output Current</t>
  </si>
  <si>
    <t>125% Rule</t>
  </si>
  <si>
    <t>Conditions of Use</t>
  </si>
  <si>
    <t># of Grounds</t>
  </si>
  <si>
    <t># of Neutrals</t>
  </si>
  <si>
    <t># of Conductors</t>
  </si>
  <si>
    <t>Conductor AWG</t>
  </si>
  <si>
    <t>Ground AWG</t>
  </si>
  <si>
    <t>EMT Size</t>
  </si>
  <si>
    <t>ID</t>
  </si>
  <si>
    <t>NEC TABLE 250.122</t>
  </si>
  <si>
    <t>Minimum Size EGC</t>
  </si>
  <si>
    <t>AWG Size (Copper)</t>
  </si>
  <si>
    <t>NEC TABLE 310.15(B)(16)</t>
  </si>
  <si>
    <t xml:space="preserve">  Allowable Ampacities of 75°C (167°F)   THWN-2 Conductor </t>
  </si>
  <si>
    <t>Allowable Ampacity</t>
  </si>
  <si>
    <t>AWG Size</t>
  </si>
  <si>
    <t>1/0</t>
  </si>
  <si>
    <t>NEC TABLE 310.15(B)(3)(a)</t>
  </si>
  <si>
    <t>Fill Factor for Number of Current Carrying Condutors (CCC's)*</t>
  </si>
  <si>
    <t>Number of CCC's</t>
  </si>
  <si>
    <t>* The neutral and ground wires do not count as current carrying conductors</t>
  </si>
  <si>
    <t>NEC TABLE 5 - CHAPTER 9</t>
  </si>
  <si>
    <t>Area (in2)</t>
  </si>
  <si>
    <t>Approximate Area of THHN, THWN &amp; THWN-2 Wires</t>
  </si>
  <si>
    <t>4/0</t>
  </si>
  <si>
    <t>3/0</t>
  </si>
  <si>
    <t>2/0</t>
  </si>
  <si>
    <t>250</t>
  </si>
  <si>
    <t>300</t>
  </si>
  <si>
    <t>350</t>
  </si>
  <si>
    <t>400</t>
  </si>
  <si>
    <t>500</t>
  </si>
  <si>
    <t>600</t>
  </si>
  <si>
    <t>700</t>
  </si>
  <si>
    <t>750</t>
  </si>
  <si>
    <t>800</t>
  </si>
  <si>
    <t>900</t>
  </si>
  <si>
    <t>1000</t>
  </si>
  <si>
    <t>NEC TABLE 4 - CHAPTER 9</t>
  </si>
  <si>
    <t>Dimensions and Percent Area of EMT (Electrical Metallic Tubing)</t>
  </si>
  <si>
    <t>Trade Size (in)</t>
  </si>
  <si>
    <t>Temperature Correction Factor/Ambient Temperature Derating</t>
  </si>
  <si>
    <t>Ambient Temperature (°C)</t>
  </si>
  <si>
    <t>Temperature Rating of Conductor</t>
  </si>
  <si>
    <t>Ambient Temperature (°F)</t>
  </si>
  <si>
    <t>60°C</t>
  </si>
  <si>
    <t>75°C</t>
  </si>
  <si>
    <t>90°C</t>
  </si>
  <si>
    <t>-</t>
  </si>
  <si>
    <t>Max. Cont. Current</t>
  </si>
  <si>
    <t>Wire Area</t>
  </si>
  <si>
    <t>Minimum</t>
  </si>
  <si>
    <t>Not used for Optimizers</t>
  </si>
  <si>
    <t>NEC TABLE 310.15(B)(2)(a)</t>
  </si>
  <si>
    <t>Wire Type</t>
  </si>
  <si>
    <t>THHN</t>
  </si>
  <si>
    <t>THWN</t>
  </si>
  <si>
    <t>THWN-2</t>
  </si>
  <si>
    <t>Standard Transformer Ratings</t>
  </si>
  <si>
    <t>1Φ</t>
  </si>
  <si>
    <t>3Φ</t>
  </si>
  <si>
    <t>Neutral AWG</t>
  </si>
  <si>
    <t>NEC TABLE 240.6(A)</t>
  </si>
  <si>
    <t>Standard Ratings for OCPD</t>
  </si>
  <si>
    <t>OCPD S.B.</t>
  </si>
  <si>
    <t>1250</t>
  </si>
  <si>
    <t>1500</t>
  </si>
  <si>
    <t>1750</t>
  </si>
  <si>
    <t>Rated Ampacity</t>
  </si>
  <si>
    <t>Derated Ampacity</t>
  </si>
  <si>
    <t>Conductor Ampacities (in conduit)</t>
  </si>
  <si>
    <t>kVA Size</t>
  </si>
  <si>
    <t xml:space="preserve">Min </t>
  </si>
  <si>
    <t>Max</t>
  </si>
  <si>
    <t>Min</t>
  </si>
  <si>
    <t>Max OCPD</t>
  </si>
  <si>
    <t>NEC 240.4(D)</t>
  </si>
  <si>
    <t>ASHRAE DATA</t>
  </si>
  <si>
    <t>Pole Mount</t>
  </si>
  <si>
    <t>Ground Mount</t>
  </si>
  <si>
    <t>Pitched Roof</t>
  </si>
  <si>
    <t>Flat Roof</t>
  </si>
  <si>
    <t>Conduit</t>
  </si>
  <si>
    <t>Free Air</t>
  </si>
  <si>
    <t>EMT</t>
  </si>
  <si>
    <t>Yes</t>
  </si>
  <si>
    <t>No</t>
  </si>
  <si>
    <t>Maximum</t>
  </si>
  <si>
    <t xml:space="preserve">Minimum </t>
  </si>
  <si>
    <t>Palmetto</t>
  </si>
  <si>
    <t>Client:</t>
  </si>
  <si>
    <t>N/A</t>
  </si>
  <si>
    <t>Client Specific Wire Schedule Protocols</t>
  </si>
  <si>
    <t>Make changes to the electrical calculations table as necessary from the information below:</t>
  </si>
  <si>
    <t>A</t>
  </si>
  <si>
    <t>SYSTEM SUMMARY</t>
  </si>
  <si>
    <t>MAX OUTPUT CURRENT</t>
  </si>
  <si>
    <t xml:space="preserve">MAX AC CURRENT </t>
  </si>
  <si>
    <t>MAKE AND MODEL</t>
  </si>
  <si>
    <t>AC VOLTAGE</t>
  </si>
  <si>
    <t>240V</t>
  </si>
  <si>
    <t>OCPDS</t>
  </si>
  <si>
    <t>OCPD SOLAR BREAKER CALCULATION</t>
  </si>
  <si>
    <t>RATED CURRENT</t>
  </si>
  <si>
    <t>MAX VOLTAGE</t>
  </si>
  <si>
    <t>NEC MULTIPLIER</t>
  </si>
  <si>
    <t>CONDUCTOR</t>
  </si>
  <si>
    <t>CONDUIT</t>
  </si>
  <si>
    <t># OF CCCs IN CONDUIT*</t>
  </si>
  <si>
    <t>OCPD</t>
  </si>
  <si>
    <t>EGC</t>
  </si>
  <si>
    <t>CONT. CURRENT</t>
  </si>
  <si>
    <t>PV WIRE</t>
  </si>
  <si>
    <t>BASE. AMP</t>
  </si>
  <si>
    <t>FILL FACTOR</t>
  </si>
  <si>
    <t>DERATED AMP.</t>
  </si>
  <si>
    <t>TEMP. DERATING</t>
  </si>
  <si>
    <t>SOLAREDGE PRODUCTS</t>
  </si>
  <si>
    <t>SolarEdge Power Optimizer</t>
  </si>
  <si>
    <t>SolarEdge Single Phase Inverters</t>
  </si>
  <si>
    <t>P300 / P320 / P370 / P400 / P405 / P505</t>
  </si>
  <si>
    <t>3000-7600H &amp; 3000-11400A</t>
  </si>
  <si>
    <t>OPTIMIZER MODEL</t>
  </si>
  <si>
    <t>Units</t>
  </si>
  <si>
    <t>INVERTER MODEL</t>
  </si>
  <si>
    <t>INPUT</t>
  </si>
  <si>
    <t>Rated Input DC Power</t>
  </si>
  <si>
    <t>W</t>
  </si>
  <si>
    <t>Maximum DC Power</t>
  </si>
  <si>
    <t>Absolue Maximum Input Voltage
(Voc at lowest temperature)</t>
  </si>
  <si>
    <t>Vdc</t>
  </si>
  <si>
    <t>Maximum Input Voltage</t>
  </si>
  <si>
    <t>STRING 1</t>
  </si>
  <si>
    <t>Nominal DC Input Voltage</t>
  </si>
  <si>
    <t xml:space="preserve">POWER OPTIMIZER MAX OUTPUT CURRENT </t>
  </si>
  <si>
    <t>SOLAREDGE MAX STRING SIZE</t>
  </si>
  <si>
    <t>MPPT Operating Range</t>
  </si>
  <si>
    <t>Maximum Input Current @ 240V</t>
  </si>
  <si>
    <t>Adc</t>
  </si>
  <si>
    <t>OPTIMIZERS IN SERIES</t>
  </si>
  <si>
    <t>MODEL</t>
  </si>
  <si>
    <t>Maximum Short Circuit Current (Isc)</t>
  </si>
  <si>
    <t>Max. Input Short Circuit Current</t>
  </si>
  <si>
    <t>ARRAY STC POWER</t>
  </si>
  <si>
    <t>MAX STRING POWER</t>
  </si>
  <si>
    <t>Maximum DC Input Current</t>
  </si>
  <si>
    <t xml:space="preserve">Maximum Inverter Efficiency </t>
  </si>
  <si>
    <t>%</t>
  </si>
  <si>
    <t xml:space="preserve">PMAX PANEL </t>
  </si>
  <si>
    <t xml:space="preserve">Maximum Efficiency </t>
  </si>
  <si>
    <t xml:space="preserve">CEC Weighted Efficiency </t>
  </si>
  <si>
    <t>NOMINAL AC POWER</t>
  </si>
  <si>
    <t>MAX STRING SIZE</t>
  </si>
  <si>
    <t xml:space="preserve">Weighted Efficiency </t>
  </si>
  <si>
    <t xml:space="preserve">OUTPUT </t>
  </si>
  <si>
    <t>Overvoltage Category</t>
  </si>
  <si>
    <t>II</t>
  </si>
  <si>
    <t>Rated AC Power Output</t>
  </si>
  <si>
    <t>VA</t>
  </si>
  <si>
    <t>MODULES</t>
  </si>
  <si>
    <t xml:space="preserve">OUTPUT DURING OPERATION </t>
  </si>
  <si>
    <t>Max AC Power Output</t>
  </si>
  <si>
    <t xml:space="preserve">PMAX </t>
  </si>
  <si>
    <t>ISC</t>
  </si>
  <si>
    <t>IMP</t>
  </si>
  <si>
    <t>VOC</t>
  </si>
  <si>
    <t>VMP</t>
  </si>
  <si>
    <t>TEMP COEFF OF VOC</t>
  </si>
  <si>
    <t>FUSE RATING</t>
  </si>
  <si>
    <t xml:space="preserve">Maximum Output Current </t>
  </si>
  <si>
    <t>AC Voltage</t>
  </si>
  <si>
    <t>V</t>
  </si>
  <si>
    <t>Maximum Output Voltage</t>
  </si>
  <si>
    <t>Max Continuous Output Current</t>
  </si>
  <si>
    <t>POWER OPTIMIZERS</t>
  </si>
  <si>
    <t>RATED INPUT POWER</t>
  </si>
  <si>
    <t>MAX INPUT ISC</t>
  </si>
  <si>
    <t>MAX DC VOLTAGE</t>
  </si>
  <si>
    <t>WEIGHTED EFFICIENCY</t>
  </si>
  <si>
    <t xml:space="preserve">OPTIMIZER MAX OUTPUT CURRENT </t>
  </si>
  <si>
    <t>INVERTERS</t>
  </si>
  <si>
    <t>MAX OCPD RATING</t>
  </si>
  <si>
    <t>RATED POWER</t>
  </si>
  <si>
    <t>MAX INPUT CURRENT</t>
  </si>
  <si>
    <t>MAX INPUT VOLTAGE</t>
  </si>
  <si>
    <t>CEC WEIGHTED EFFICIENCY</t>
  </si>
  <si>
    <t>A &amp; H Series Inverters List</t>
  </si>
  <si>
    <t>SolarEdge Inverter PMAX</t>
  </si>
  <si>
    <t>INVERTER MAX OUTPUT CURRENT</t>
  </si>
  <si>
    <t>SE3000H-US</t>
  </si>
  <si>
    <t>Model</t>
  </si>
  <si>
    <t>P320</t>
  </si>
  <si>
    <t>SE3800H-US</t>
  </si>
  <si>
    <t>SE3000A-US</t>
  </si>
  <si>
    <t>P370</t>
  </si>
  <si>
    <t>SE5000H-US</t>
  </si>
  <si>
    <t>SE3800A-US</t>
  </si>
  <si>
    <t>P400</t>
  </si>
  <si>
    <t>SE6000H-US</t>
  </si>
  <si>
    <t>SE5000A-US</t>
  </si>
  <si>
    <t>INV. MAX CONT. OUTPUT CURRENT</t>
  </si>
  <si>
    <t>P405</t>
  </si>
  <si>
    <t>SE7600H-US</t>
  </si>
  <si>
    <t>SE6000A-US</t>
  </si>
  <si>
    <t>P505</t>
  </si>
  <si>
    <t>SE7600A-US</t>
  </si>
  <si>
    <t>SE10000A-US</t>
  </si>
  <si>
    <t xml:space="preserve">CONDUCTOR </t>
  </si>
  <si>
    <t>SE11400A-US</t>
  </si>
  <si>
    <t>SE10000H-US</t>
  </si>
  <si>
    <t>SE11400H-US</t>
  </si>
  <si>
    <t>*CCCs REFERS TO CURRENT CARRYING CONDUCTORS</t>
  </si>
  <si>
    <t>Conductor</t>
  </si>
  <si>
    <t>STRING 2</t>
  </si>
  <si>
    <t>STRING 3</t>
  </si>
  <si>
    <t xml:space="preserve">QUANTITY </t>
  </si>
  <si>
    <t>STR PWR</t>
  </si>
  <si>
    <t>300W</t>
  </si>
  <si>
    <t>20A</t>
  </si>
  <si>
    <t>BARE</t>
  </si>
  <si>
    <t xml:space="preserve">MAX. CURRENT </t>
  </si>
  <si>
    <t>Optimizer?</t>
  </si>
  <si>
    <t>Extreme Low Temp (°C)</t>
  </si>
  <si>
    <t>Extreme Low Temp (°F)</t>
  </si>
  <si>
    <t>9.77A</t>
  </si>
  <si>
    <t>9.26A</t>
  </si>
  <si>
    <t>39.76V</t>
  </si>
  <si>
    <t>32.41V</t>
  </si>
  <si>
    <t>-0.28%/°C</t>
  </si>
  <si>
    <t>OCPD (N/A or xxA)</t>
  </si>
  <si>
    <t>335W</t>
  </si>
  <si>
    <t xml:space="preserve">  Allowable Ampacities of 75°C (167°F) THWN-2 Conductor In Conduit </t>
  </si>
  <si>
    <t xml:space="preserve">  Allowable Ampacities of 75°C (167°F) THWN-2 Conductor Free Air</t>
  </si>
  <si>
    <t>INVERTER SPECS</t>
  </si>
  <si>
    <t>OUTPUT</t>
  </si>
  <si>
    <t>MAKE:</t>
  </si>
  <si>
    <t>MODEL:</t>
  </si>
  <si>
    <t>MAX. INPUT VOLTAGE:</t>
  </si>
  <si>
    <t>MAX. INPUT CURRENT:</t>
  </si>
  <si>
    <t>MAX. DC POWER:</t>
  </si>
  <si>
    <t>NOMINAL AC POWER OUTPUT:</t>
  </si>
  <si>
    <t>NOMINAL AC OUTPUT VOLTAGE:</t>
  </si>
  <si>
    <t>MAX. OUTPUT CURRENT:</t>
  </si>
  <si>
    <t>MODULE SPECS</t>
  </si>
  <si>
    <t>MODULE MAKE:</t>
  </si>
  <si>
    <t>MODULE QUANTITY:</t>
  </si>
  <si>
    <t>MODULE POWER:</t>
  </si>
  <si>
    <t>VOC:</t>
  </si>
  <si>
    <t>ISC:</t>
  </si>
  <si>
    <t>VMP:</t>
  </si>
  <si>
    <t>IMP:</t>
  </si>
  <si>
    <t>ASHRAE AMBIENT AIR SPECS</t>
  </si>
  <si>
    <t xml:space="preserve">EXTREME MINIMUM: </t>
  </si>
  <si>
    <t>OPTIMIZER SPECS</t>
  </si>
  <si>
    <t>MAX. VOLTAGE</t>
  </si>
  <si>
    <t>MAX. CURRENT</t>
  </si>
  <si>
    <t>SOLAREDGE TECHNOLOGIES LTD.</t>
  </si>
  <si>
    <t xml:space="preserve">WIRE SCHEDULE </t>
  </si>
  <si>
    <t>CONDUIT KIT</t>
  </si>
  <si>
    <t>NEUTRAL</t>
  </si>
  <si>
    <t xml:space="preserve">HANWHA Q.PEAK-G4.1 </t>
  </si>
  <si>
    <t>LG335N1C-A5</t>
  </si>
  <si>
    <t>10.49A</t>
  </si>
  <si>
    <t>9.83A</t>
  </si>
  <si>
    <t>41.00V</t>
  </si>
  <si>
    <t>34.10V</t>
  </si>
  <si>
    <t>-0.27%/°C</t>
  </si>
  <si>
    <t xml:space="preserve">CONDUCTOR/CONDUIT SCHEDULE </t>
  </si>
  <si>
    <t>How many strings are in this system? 1, 2 or 3?</t>
  </si>
  <si>
    <t>STRING SIZE 1</t>
  </si>
  <si>
    <t>STRING SIZE 2</t>
  </si>
  <si>
    <t>STRING SIZE 3</t>
  </si>
  <si>
    <t>OCPD SIZE</t>
  </si>
  <si>
    <t>AC DISCONNECT SWITCH SIZE</t>
  </si>
  <si>
    <t>Standard AC Disconnect Switch Sizes</t>
  </si>
  <si>
    <t>AUTOCAD FIELDS</t>
  </si>
  <si>
    <t>RATED AC OUTPUT CURRENT</t>
  </si>
  <si>
    <t>Number of Panels</t>
  </si>
  <si>
    <t>Main Circuit Breaker Size (A)</t>
  </si>
  <si>
    <t>Inverter Model</t>
  </si>
  <si>
    <t>Max String Size</t>
  </si>
  <si>
    <t>Max Output Current</t>
  </si>
  <si>
    <t>Q.PEAK DUO</t>
  </si>
  <si>
    <t>310W</t>
  </si>
  <si>
    <t>9.36A</t>
  </si>
  <si>
    <t>40.02V</t>
  </si>
  <si>
    <t>33.12V</t>
  </si>
  <si>
    <t>System Size</t>
  </si>
  <si>
    <t>Client</t>
  </si>
  <si>
    <t>ASHRAE Data</t>
  </si>
  <si>
    <t>String 1</t>
  </si>
  <si>
    <t>String 2</t>
  </si>
  <si>
    <t>String 3</t>
  </si>
  <si>
    <t>String Information</t>
  </si>
  <si>
    <t>Panel Name</t>
  </si>
  <si>
    <t>Utility Company</t>
  </si>
  <si>
    <t>Make and Model</t>
  </si>
  <si>
    <t>Fuse Rating</t>
  </si>
  <si>
    <t>PMAX</t>
  </si>
  <si>
    <t>System Information</t>
  </si>
  <si>
    <t>Unitil- Massachusetts (Fitchburg Gas and Electric Light Company)</t>
  </si>
  <si>
    <t>Union Electric Membership Corp</t>
  </si>
  <si>
    <t>Eversource (NSTAR)</t>
  </si>
  <si>
    <t>Orlando Utilities Commission (OUC)</t>
  </si>
  <si>
    <t>Florida Power &amp; Light Co. (FPL)</t>
  </si>
  <si>
    <t>Kissimmee Utility Authority (KUA)</t>
  </si>
  <si>
    <t>Duke Energy Florida (Progress Energy)</t>
  </si>
  <si>
    <t>Ameren Illinois</t>
  </si>
  <si>
    <t>Commonwealth Edison Co.</t>
  </si>
  <si>
    <t>Eversource (WMDG, EMDG, NSTAR)</t>
  </si>
  <si>
    <t>Taunton Municipal Lighting Plant (TMLP)</t>
  </si>
  <si>
    <t>National Grid</t>
  </si>
  <si>
    <t>Jersey Central Power &amp; Light (JCP&amp;L)</t>
  </si>
  <si>
    <t>Public Service Electric &amp; Gas (PSE&amp;G)</t>
  </si>
  <si>
    <t>Atlantic City Electric Co</t>
  </si>
  <si>
    <t>Con Edison</t>
  </si>
  <si>
    <t>Central Hudson Gas &amp; Electric Co.</t>
  </si>
  <si>
    <t>South Carolina Electric &amp; Gas Company (SCE&amp;G, SCANA)</t>
  </si>
  <si>
    <t>Berkeley Electric Cooperative</t>
  </si>
  <si>
    <t>Laurens Electric Coop, Inc</t>
  </si>
  <si>
    <t>CPS Energy</t>
  </si>
  <si>
    <t>HILCO</t>
  </si>
  <si>
    <t>Austin Energy</t>
  </si>
  <si>
    <t>Hamilton County Electric Cooperative (HCEC)</t>
  </si>
  <si>
    <t>Bluebonnet Electric Cooperative</t>
  </si>
  <si>
    <t>Farmers Electric Coop</t>
  </si>
  <si>
    <t>PV Production Meter</t>
  </si>
  <si>
    <t>Yes (in MSP)</t>
  </si>
  <si>
    <t>AC Disconnect</t>
  </si>
  <si>
    <t>Yes (within 10' of utility meter)</t>
  </si>
  <si>
    <t>No (unless OVER 10kW AC or doing line side tap, must be called out as "Visible Lockable AC Disconnect")</t>
  </si>
  <si>
    <t>Yes (in MSP not meter base)</t>
  </si>
  <si>
    <t>Yes (as close to utility meter as possible, no more than 10')</t>
  </si>
  <si>
    <t>Yes (within 4' of utility meter socket)</t>
  </si>
  <si>
    <t>No (unless the system is larger than 60kW)</t>
  </si>
  <si>
    <t>No (unless OVER 25kW AC or doing line side tap)</t>
  </si>
  <si>
    <t>No (unless over 25kW AC, or doing line side tap)</t>
  </si>
  <si>
    <t>No (unless doing line side tap)</t>
  </si>
  <si>
    <t>Yes (recommended to be within 10' of utility meter)</t>
  </si>
  <si>
    <t>Case by case (in MSP should be fine)</t>
  </si>
  <si>
    <t>Yes (use tap box)</t>
  </si>
  <si>
    <t>Yes (as close to utility meter as possible)</t>
  </si>
  <si>
    <t>Yes (in MSP, not meter base)</t>
  </si>
  <si>
    <t>Yes (in MSP only)</t>
  </si>
  <si>
    <t>Yes (Visible, Lockable)</t>
  </si>
  <si>
    <t>MA</t>
  </si>
  <si>
    <t>NC</t>
  </si>
  <si>
    <t>CT</t>
  </si>
  <si>
    <t>FL</t>
  </si>
  <si>
    <t>IL</t>
  </si>
  <si>
    <t>NJ</t>
  </si>
  <si>
    <t>NY</t>
  </si>
  <si>
    <t>SC</t>
  </si>
  <si>
    <t>TX</t>
  </si>
  <si>
    <t>PV Meter</t>
  </si>
  <si>
    <t>Equipment Closest to Utility Meter</t>
  </si>
  <si>
    <t>Line Side Tap Allowed?</t>
  </si>
  <si>
    <t>Bi-Directional Meter Replacement</t>
  </si>
  <si>
    <t>Utility Information</t>
  </si>
  <si>
    <t>State</t>
  </si>
  <si>
    <t>Yes (Customer Generation Meter)</t>
  </si>
  <si>
    <t>Tampa Electric Co (TECO)</t>
  </si>
  <si>
    <t>No (If meter isn't AMI, make a note of this in the single line diagram)</t>
  </si>
  <si>
    <t>**Keep this blank row for the dropdown</t>
  </si>
  <si>
    <t>LST Allowed?</t>
  </si>
  <si>
    <t>Yes, Always (Unless otherwise specified). Tap into the meter base if it's Milbank brand.</t>
  </si>
  <si>
    <t>SILFAB SLA-M 300W</t>
  </si>
  <si>
    <t>9.71A</t>
  </si>
  <si>
    <t>9.16A</t>
  </si>
  <si>
    <t>39.85V</t>
  </si>
  <si>
    <t>32.80V</t>
  </si>
  <si>
    <t>-0.30%/°C</t>
  </si>
  <si>
    <t>15A</t>
  </si>
  <si>
    <t>Client Notes</t>
  </si>
  <si>
    <t>MCB Size</t>
  </si>
  <si>
    <t>MSP Rating</t>
  </si>
  <si>
    <t>Client Information</t>
  </si>
  <si>
    <t>Notes</t>
  </si>
  <si>
    <t xml:space="preserve">If there is no main circuit breaker, you will have to upgrade the main service panel to include one. </t>
  </si>
  <si>
    <t>If a load side connection can't be done, a line side connection must be done, or the panel must be upgraded to allow for a load side connection.</t>
  </si>
  <si>
    <t>Can a loadside connection be done?</t>
  </si>
  <si>
    <t>Minimum System Size</t>
  </si>
  <si>
    <t>Maximum System Size</t>
  </si>
  <si>
    <t>Solar Modules</t>
  </si>
  <si>
    <t>ASP</t>
  </si>
  <si>
    <t>Solar Liberty</t>
  </si>
  <si>
    <t>Texas Energy Experts</t>
  </si>
  <si>
    <t>Veteran Solar</t>
  </si>
  <si>
    <t>No wire smaller than 10 AWG or 3/4" conduit</t>
  </si>
  <si>
    <t>If 3 strings are required, you must use the 10000H or 11400H Inverters.</t>
  </si>
  <si>
    <t xml:space="preserve">AC Disconnect </t>
  </si>
  <si>
    <t>Yes (within 6' of meter can)</t>
  </si>
  <si>
    <t xml:space="preserve">Yes (needs to be in line of sight of utility meter, if not a label is required indicating where the AC disconnect is). </t>
  </si>
  <si>
    <t>Inverters</t>
  </si>
  <si>
    <t>Pedernales Electric Cooperative (PEC)</t>
  </si>
  <si>
    <t>Optimizer Model</t>
  </si>
  <si>
    <t>Palmetto Inverter Calculation</t>
  </si>
  <si>
    <t>Max String Power*</t>
  </si>
  <si>
    <t>*Max string power is with P320/P370/P400/P405/P505 models at 240V</t>
  </si>
  <si>
    <t>Max Input Current</t>
  </si>
  <si>
    <t>Ratec AC Power Output</t>
  </si>
  <si>
    <t>Max Input Voltage</t>
  </si>
  <si>
    <t>12.5A</t>
  </si>
  <si>
    <t>16A</t>
  </si>
  <si>
    <t>21A</t>
  </si>
  <si>
    <t>25A</t>
  </si>
  <si>
    <t>32A</t>
  </si>
  <si>
    <t>42A</t>
  </si>
  <si>
    <t>47.5A</t>
  </si>
  <si>
    <t>Max OCPD Rating</t>
  </si>
  <si>
    <t>60A</t>
  </si>
  <si>
    <t>CEC Weighted Efficiency</t>
  </si>
  <si>
    <t>480V</t>
  </si>
  <si>
    <t>500V</t>
  </si>
  <si>
    <t>Optimizers</t>
  </si>
  <si>
    <t>Max Input ISC</t>
  </si>
  <si>
    <t>Max Input Voltage*</t>
  </si>
  <si>
    <t>Weighted Efficiency</t>
  </si>
  <si>
    <t>Typical Module Compatibility</t>
  </si>
  <si>
    <t>60-cell modules</t>
  </si>
  <si>
    <t>60 &amp; 72-cell modules</t>
  </si>
  <si>
    <t>72 &amp; 96-cell modules</t>
  </si>
  <si>
    <t>Thin film modules</t>
  </si>
  <si>
    <t>Higher current modules</t>
  </si>
  <si>
    <t>320W</t>
  </si>
  <si>
    <t>370W</t>
  </si>
  <si>
    <t>400W</t>
  </si>
  <si>
    <t>405W</t>
  </si>
  <si>
    <t>505W</t>
  </si>
  <si>
    <t>11A</t>
  </si>
  <si>
    <t>10.1A</t>
  </si>
  <si>
    <t>14A</t>
  </si>
  <si>
    <t>48V</t>
  </si>
  <si>
    <t>60V</t>
  </si>
  <si>
    <t>80V</t>
  </si>
  <si>
    <t>125V</t>
  </si>
  <si>
    <t>83V</t>
  </si>
  <si>
    <t>*Absolute maximum input voltage (Voc at lowest temperature)</t>
  </si>
  <si>
    <t># of Cells</t>
  </si>
  <si>
    <t>Palmetto Suggested Inverter Model</t>
  </si>
  <si>
    <t>3000W</t>
  </si>
  <si>
    <t>3800W</t>
  </si>
  <si>
    <t>5000W</t>
  </si>
  <si>
    <t>6000W</t>
  </si>
  <si>
    <t>7600W</t>
  </si>
  <si>
    <t>10000W</t>
  </si>
  <si>
    <t>11400W</t>
  </si>
  <si>
    <t>8.5A</t>
  </si>
  <si>
    <t>10.5A</t>
  </si>
  <si>
    <t>13.5A</t>
  </si>
  <si>
    <t>16.5A</t>
  </si>
  <si>
    <t>27A</t>
  </si>
  <si>
    <t>30.5A</t>
  </si>
  <si>
    <t>9.5A</t>
  </si>
  <si>
    <t>13A</t>
  </si>
  <si>
    <t>15.5A</t>
  </si>
  <si>
    <t>18A</t>
  </si>
  <si>
    <t>23A</t>
  </si>
  <si>
    <t>34.5A</t>
  </si>
  <si>
    <t>Optimizer</t>
  </si>
  <si>
    <t>Optimizer Check</t>
  </si>
  <si>
    <t>Panel Max Voc</t>
  </si>
  <si>
    <t>Optimizer Max Voc</t>
  </si>
  <si>
    <t>Panel Max ISC</t>
  </si>
  <si>
    <t>Optimizer Max ISC</t>
  </si>
  <si>
    <t>Number of Strings (Defaults to Min)</t>
  </si>
  <si>
    <t>Total</t>
  </si>
  <si>
    <t>LG360Q1C-A5</t>
  </si>
  <si>
    <t>360W</t>
  </si>
  <si>
    <t>10.79A</t>
  </si>
  <si>
    <t>9.87A</t>
  </si>
  <si>
    <t>42.70V</t>
  </si>
  <si>
    <t>36.50V</t>
  </si>
  <si>
    <t>-0.24%/°C</t>
  </si>
  <si>
    <t>PANASONIC N325</t>
  </si>
  <si>
    <t>325W</t>
  </si>
  <si>
    <t>6.03A</t>
  </si>
  <si>
    <t>5.65A</t>
  </si>
  <si>
    <t>69.60V</t>
  </si>
  <si>
    <t>57.60V</t>
  </si>
  <si>
    <t>-0.258%/°C</t>
  </si>
  <si>
    <t>PANASONIC N330</t>
  </si>
  <si>
    <t>330W</t>
  </si>
  <si>
    <t>6.07A</t>
  </si>
  <si>
    <t>5.70A</t>
  </si>
  <si>
    <t>69.70V</t>
  </si>
  <si>
    <t>58.00V</t>
  </si>
  <si>
    <t>Is there space for a PV Breaker?</t>
  </si>
  <si>
    <t>MSP</t>
  </si>
  <si>
    <t>EQUIPMENT</t>
  </si>
  <si>
    <t>Temperature Rating (°C)</t>
  </si>
  <si>
    <t>Temperature Coefficient of Resistance</t>
  </si>
  <si>
    <t>Phase Multiplier</t>
  </si>
  <si>
    <t>Inverter Specs</t>
  </si>
  <si>
    <t>Φ</t>
  </si>
  <si>
    <t>Multiplier</t>
  </si>
  <si>
    <t>I (A)</t>
  </si>
  <si>
    <t>Wire Size (AWG)</t>
  </si>
  <si>
    <t>Material-Coating</t>
  </si>
  <si>
    <t>Direct-Current Constant Resistance(Ω/1000ft)</t>
  </si>
  <si>
    <t>Temperature Correction Factor</t>
  </si>
  <si>
    <t>Length (ft)</t>
  </si>
  <si>
    <t>Voltage Drop (V)</t>
  </si>
  <si>
    <t>Source Voltage (V)</t>
  </si>
  <si>
    <t>Voltage Drop (%)</t>
  </si>
  <si>
    <t>Totals</t>
  </si>
  <si>
    <t>Direct Current Resistance @ 75°C (Ω/1000ft)</t>
  </si>
  <si>
    <t>Copper</t>
  </si>
  <si>
    <t>AC</t>
  </si>
  <si>
    <t>Copper-Coated</t>
  </si>
  <si>
    <t>Strands</t>
  </si>
  <si>
    <t>Copper-Uncoated</t>
  </si>
  <si>
    <t xml:space="preserve">Aluminum </t>
  </si>
  <si>
    <t>Aluminum</t>
  </si>
  <si>
    <t>Max Continuous Output Current (A)</t>
  </si>
  <si>
    <t>DC</t>
  </si>
  <si>
    <t>AC Output Voltage (V)</t>
  </si>
  <si>
    <t>Voltage Drop Wire Size (AWG)</t>
  </si>
  <si>
    <t>Condcutor</t>
  </si>
  <si>
    <t xml:space="preserve"> Wire Size accounting for Voltage Drop</t>
  </si>
  <si>
    <t>NEC Table 8 Conductor Properties</t>
  </si>
  <si>
    <t>Circulars mils</t>
  </si>
  <si>
    <t>UTILITY COMPANY</t>
  </si>
  <si>
    <t>UTILITY METER</t>
  </si>
  <si>
    <t>Address</t>
  </si>
  <si>
    <t>Equipment Order (Closest to Meter First)</t>
  </si>
  <si>
    <t>Used For This Project?</t>
  </si>
  <si>
    <t xml:space="preserve"> </t>
  </si>
  <si>
    <t>Duke Energy</t>
  </si>
  <si>
    <t>ELECTRICAL CALCULATIONS</t>
  </si>
  <si>
    <t>JINKO JKM380M-72H</t>
  </si>
  <si>
    <t>380W</t>
  </si>
  <si>
    <t>9.75A</t>
  </si>
  <si>
    <t>9.39A</t>
  </si>
  <si>
    <t>48.90V</t>
  </si>
  <si>
    <t>40.50V</t>
  </si>
  <si>
    <t>-0.29%/°C</t>
  </si>
  <si>
    <t>Minimum Size EGC (Copper)</t>
  </si>
  <si>
    <t>C</t>
  </si>
  <si>
    <t>N</t>
  </si>
  <si>
    <t>Original Wires Sizes</t>
  </si>
  <si>
    <t>LINE DIAGRAM DROPDOWNS</t>
  </si>
  <si>
    <t>Public Service Electric &amp; Gas LONG ISLAND (PSE&amp;G)</t>
  </si>
  <si>
    <t>Rochester Gas &amp; Electric (RG&amp;E)</t>
  </si>
  <si>
    <t>ONCOR</t>
  </si>
  <si>
    <t>Yes (within 10' of utility meter, if farther than 10' the location must be shown on a placard)</t>
  </si>
  <si>
    <t>Yes   (in MSP)</t>
  </si>
  <si>
    <t>Grayson Collin Electric Cooperative (GCEC)</t>
  </si>
  <si>
    <t>Yes (anywhere other than in meter base)</t>
  </si>
  <si>
    <t>CoServ</t>
  </si>
  <si>
    <t>Yes (owned by CoServ)</t>
  </si>
  <si>
    <t>Central Texas Electric Coop (CTEC)</t>
  </si>
  <si>
    <t>LG 330N1C-A5</t>
  </si>
  <si>
    <t>10.45A</t>
  </si>
  <si>
    <t>9.80A</t>
  </si>
  <si>
    <t>40.90V</t>
  </si>
  <si>
    <t>33.70V</t>
  </si>
  <si>
    <t>Fixed String Voltage (V)</t>
  </si>
  <si>
    <t>Max String Wattage (W)</t>
  </si>
  <si>
    <t>String Specs</t>
  </si>
  <si>
    <t>Max String Current (A)</t>
  </si>
  <si>
    <t>Inverter 1 String Information</t>
  </si>
  <si>
    <t>Size</t>
  </si>
  <si>
    <t>Palmetto Suggested Model</t>
  </si>
  <si>
    <t>Inverter 2 String Information</t>
  </si>
  <si>
    <t>Actual</t>
  </si>
  <si>
    <t># of Panels in String</t>
  </si>
  <si>
    <t>String 1 to Jbox 1</t>
  </si>
  <si>
    <t>O</t>
  </si>
  <si>
    <t>ELECTRICAL CALCULATIONS PAGE OF THE PERMIT PACKAGE (FOR PROJECT WITH OPTIMIZERS) - 1, 2 or 3 STRINGS</t>
  </si>
  <si>
    <t>String 2 to Jbox 1</t>
  </si>
  <si>
    <t>P</t>
  </si>
  <si>
    <t>String 3 to Jbox 1</t>
  </si>
  <si>
    <t>T</t>
  </si>
  <si>
    <t>String 4 to Jbox 2</t>
  </si>
  <si>
    <t>I</t>
  </si>
  <si>
    <t>String 5 to Jbox 2</t>
  </si>
  <si>
    <t>M</t>
  </si>
  <si>
    <t>INVERTER 1</t>
  </si>
  <si>
    <t>INVERTER 2</t>
  </si>
  <si>
    <t>String 6 to Jbox 2</t>
  </si>
  <si>
    <t>Jbox 1 to Inverter 1</t>
  </si>
  <si>
    <t>Z</t>
  </si>
  <si>
    <t>Jbox 2 to Inverter 2</t>
  </si>
  <si>
    <t>E</t>
  </si>
  <si>
    <t>Inverter 1 to Sub-Panel</t>
  </si>
  <si>
    <t>R</t>
  </si>
  <si>
    <t>Inverter 2 to Sub-Panel</t>
  </si>
  <si>
    <t>Sub-Panel on (to ACD, PV Meter, MSP)</t>
  </si>
  <si>
    <t>L</t>
  </si>
  <si>
    <t>U</t>
  </si>
  <si>
    <t>Q.PEAK-G4.1 300W</t>
  </si>
  <si>
    <t>IF STRING INVERTERS ARE USED</t>
  </si>
  <si>
    <t xml:space="preserve">OTHER </t>
  </si>
  <si>
    <t xml:space="preserve">Make and Model </t>
  </si>
  <si>
    <t>Quantity</t>
  </si>
  <si>
    <t>S</t>
  </si>
  <si>
    <t>Optimizers List</t>
  </si>
  <si>
    <t>P300</t>
  </si>
  <si>
    <t>MIN OCPD SOLAR BREAKER</t>
  </si>
  <si>
    <t>H</t>
  </si>
  <si>
    <t>CLIENT</t>
  </si>
  <si>
    <t>VETERAN</t>
  </si>
  <si>
    <t>MISSION SOLAR MSE300SQ5T</t>
  </si>
  <si>
    <t>9.61A</t>
  </si>
  <si>
    <t>9.17A</t>
  </si>
  <si>
    <t>40.18V</t>
  </si>
  <si>
    <t>-0.318%/°C</t>
  </si>
  <si>
    <t>SILFAB SLA-M 310W</t>
  </si>
  <si>
    <t>9.93A</t>
  </si>
  <si>
    <t>9.38A</t>
  </si>
  <si>
    <t>40.25V</t>
  </si>
  <si>
    <t>33.05V</t>
  </si>
  <si>
    <t>PALMETTO</t>
  </si>
  <si>
    <t xml:space="preserve">SOLAR LIBERTY </t>
  </si>
  <si>
    <t>SUNPOWER X22-360W</t>
  </si>
  <si>
    <t>6.48A</t>
  </si>
  <si>
    <t>6.09A</t>
  </si>
  <si>
    <t>69.50V</t>
  </si>
  <si>
    <t>59.10V</t>
  </si>
  <si>
    <t>-0.241%/°C</t>
  </si>
  <si>
    <t>SUNPOWER X21-335W</t>
  </si>
  <si>
    <t>6.39A</t>
  </si>
  <si>
    <t>6.02A</t>
  </si>
  <si>
    <t>68.20V</t>
  </si>
  <si>
    <t>57.30V</t>
  </si>
  <si>
    <t>-0.245%/°C</t>
  </si>
  <si>
    <t>SOLARWORLD SW 300 MONO</t>
  </si>
  <si>
    <t>10.23A</t>
  </si>
  <si>
    <t>9.57A</t>
  </si>
  <si>
    <t>40.10V</t>
  </si>
  <si>
    <t>31.60V</t>
  </si>
  <si>
    <t>Electrical Protocols</t>
  </si>
  <si>
    <t>American Solar Partners</t>
  </si>
  <si>
    <t>- ASP does not use any wire smaller than 10 AWG</t>
  </si>
  <si>
    <t xml:space="preserve">- Conduit must be minimum ¾”
- Include Max and Min string voltages using VOC and PMAX temperature coefficients. 
- Use 0.4% High DB Temp instead of 2%.  
- No wires smaller than 8 AWG (other than PV Wire)
</t>
  </si>
  <si>
    <t xml:space="preserve">- Line and load conductors (all but PV wires) must have the same ampacity rating and not be smaller than No. 8 AWG copper.
- NABCEP and code states that ground coming off the roof (after J Box on) needs to be at least #8 AWG. 
</t>
  </si>
  <si>
    <t>SunPower</t>
  </si>
  <si>
    <t>Inverter 3 String Information</t>
  </si>
  <si>
    <t>MAIN SERVICE PANEL RATING</t>
  </si>
  <si>
    <t>MAIN CIRCUIT BREAKER RATING</t>
  </si>
  <si>
    <t>INVERTER 1 MODEL</t>
  </si>
  <si>
    <t>INVERTER 2 MODEL</t>
  </si>
  <si>
    <t>STRING SIZE 4</t>
  </si>
  <si>
    <t>STRING SIZE 5</t>
  </si>
  <si>
    <t>STRING SIZE 6</t>
  </si>
  <si>
    <t>SUB-PANEL MCB RATING</t>
  </si>
  <si>
    <t>SUB-PANEL BREAKER 1</t>
  </si>
  <si>
    <t>SUB-PANEL BREAKER 2</t>
  </si>
  <si>
    <t>7-9</t>
  </si>
  <si>
    <t>Inverter 1 Specs</t>
  </si>
  <si>
    <t>Inverter 2 Specs</t>
  </si>
  <si>
    <t>Wire Size Accounting For Voltage Drop</t>
  </si>
  <si>
    <t>ID #</t>
  </si>
  <si>
    <t>INVERTER 3</t>
  </si>
  <si>
    <t>String 7 to Jbox 3</t>
  </si>
  <si>
    <t>String 8 to Jbox 3</t>
  </si>
  <si>
    <t>INVERTER</t>
  </si>
  <si>
    <t>String 9 to Jbox 3</t>
  </si>
  <si>
    <t>Jbox 3 to Inverter 3</t>
  </si>
  <si>
    <t>Inverter 3 to Sub-Panel</t>
  </si>
  <si>
    <t>2% DB High Temp (°C)</t>
  </si>
  <si>
    <t>2% DB High Temp (°F)</t>
  </si>
  <si>
    <t>10-12</t>
  </si>
  <si>
    <t>INVERTER 3 MODEL</t>
  </si>
  <si>
    <t>STRING SIZE 7</t>
  </si>
  <si>
    <t>STRING SIZE 8</t>
  </si>
  <si>
    <t>STRING SIZE 9</t>
  </si>
  <si>
    <t>SUB-PANEL BREAKER 3</t>
  </si>
  <si>
    <t>Palmetto Min Wire Size</t>
  </si>
  <si>
    <t>Inverter 3 Specs</t>
  </si>
  <si>
    <t>MISSION SOLAR MSE360SQ6S</t>
  </si>
  <si>
    <t>9.79A</t>
  </si>
  <si>
    <t>9.28A</t>
  </si>
  <si>
    <t>48.08V</t>
  </si>
  <si>
    <t>39.28V</t>
  </si>
  <si>
    <t>Navasota Valley Electric Coop</t>
  </si>
  <si>
    <t>Navasot Valley Electric Coop</t>
  </si>
  <si>
    <t>Texas New Mexico Power Co (TNMP)</t>
  </si>
  <si>
    <t>HANWHA Q.PEAK-G4.1 300W</t>
  </si>
  <si>
    <t>Q.PEAK DUO 310W</t>
  </si>
  <si>
    <t>Q.PEAK DUO 315W</t>
  </si>
  <si>
    <t>315W</t>
  </si>
  <si>
    <t>9.89A</t>
  </si>
  <si>
    <t>9.41A</t>
  </si>
  <si>
    <t>40.29V</t>
  </si>
  <si>
    <t>33.46V</t>
  </si>
  <si>
    <t>365W</t>
  </si>
  <si>
    <t>9.81A</t>
  </si>
  <si>
    <t>9.32A</t>
  </si>
  <si>
    <t>48.12V</t>
  </si>
  <si>
    <t>39.32V</t>
  </si>
  <si>
    <t>MISSION SOLAR MSE365SQ6S</t>
  </si>
  <si>
    <t>CSUN 360-72M</t>
  </si>
  <si>
    <t>9.67A</t>
  </si>
  <si>
    <t>9.33A</t>
  </si>
  <si>
    <t>47.30V</t>
  </si>
  <si>
    <t>38.60V</t>
  </si>
  <si>
    <t>-0.307%/°C</t>
  </si>
  <si>
    <t>50A</t>
  </si>
  <si>
    <t>Yes - called out as "MA SMART Generation Meter, TOP lugs to Utility (LINE) 
BOTTOM lugs to solar generation (LOAD)"</t>
  </si>
  <si>
    <t>LG320N1K-A5</t>
  </si>
  <si>
    <t>10.19A</t>
  </si>
  <si>
    <t>9.62A</t>
  </si>
  <si>
    <t>40.80V</t>
  </si>
  <si>
    <t>33.30V</t>
  </si>
  <si>
    <t>80A</t>
  </si>
  <si>
    <t>40A</t>
  </si>
  <si>
    <t>JINKO JKM365M-72H</t>
  </si>
  <si>
    <t>9.20A</t>
  </si>
  <si>
    <t>39.70V</t>
  </si>
  <si>
    <t>48.20V</t>
  </si>
  <si>
    <t>Line Diagram Name</t>
  </si>
  <si>
    <t>Eversource</t>
  </si>
  <si>
    <t>OUC</t>
  </si>
  <si>
    <t>KUA</t>
  </si>
  <si>
    <t>ACE</t>
  </si>
  <si>
    <t>PEC</t>
  </si>
  <si>
    <t>FPL</t>
  </si>
  <si>
    <t>TECO</t>
  </si>
  <si>
    <t>Amaren Illinois</t>
  </si>
  <si>
    <t>ComEd</t>
  </si>
  <si>
    <t>Unitil - MA</t>
  </si>
  <si>
    <t xml:space="preserve">Eversource </t>
  </si>
  <si>
    <t>TMLP</t>
  </si>
  <si>
    <t>Union Electric</t>
  </si>
  <si>
    <t>JCP&amp;L</t>
  </si>
  <si>
    <t>PSE&amp;G</t>
  </si>
  <si>
    <t xml:space="preserve">Central Hudson Gas &amp; Electric </t>
  </si>
  <si>
    <t>PSE&amp;G - Long Island</t>
  </si>
  <si>
    <t>RG&amp;E</t>
  </si>
  <si>
    <t>SCE&amp;G</t>
  </si>
  <si>
    <t>Laurens Electric Cooperative</t>
  </si>
  <si>
    <t>Berkely Electric Cooperative</t>
  </si>
  <si>
    <t>HCEC</t>
  </si>
  <si>
    <t>Farmers Electric Cooperative</t>
  </si>
  <si>
    <t>GCEC</t>
  </si>
  <si>
    <t>CTEC</t>
  </si>
  <si>
    <t>TNMP</t>
  </si>
  <si>
    <t>RI</t>
  </si>
  <si>
    <t>National Grid - Regrowth Program (REG)</t>
  </si>
  <si>
    <t>National Grid - Net Metering</t>
  </si>
  <si>
    <t>No, Parallel Service</t>
  </si>
  <si>
    <t>P340</t>
  </si>
  <si>
    <t>340W</t>
  </si>
  <si>
    <t>Is there space for a Line-Side Tap?</t>
  </si>
  <si>
    <t>Milbank Utility Meter Enclosure?</t>
  </si>
  <si>
    <t>United Illuminating Co</t>
  </si>
  <si>
    <t>MD</t>
  </si>
  <si>
    <t>Aiken Electric Cooperative Inc.</t>
  </si>
  <si>
    <t>Requires #6 AWG ground from AC Disconnect to MSP</t>
  </si>
  <si>
    <t>BG&amp;E</t>
  </si>
  <si>
    <t>Do line-side tap if possible, unless meter is Milbank brand</t>
  </si>
  <si>
    <t>Yes (within 10' of utility meter, must be called out as Generator Isolation Device)</t>
  </si>
  <si>
    <t>Yes - called out as "MA SMART Generation Meter, TOP lugs to Utility (LINE) BOTTOM lugs to solar generation (LOAD)"</t>
  </si>
  <si>
    <t>No additional requirements.</t>
  </si>
  <si>
    <t>Additional Requirements</t>
  </si>
  <si>
    <t>No (Unless over 25kW AC or Non-Inverter based system, must be external, manual visible, gang-operated load-break disconnect switch)</t>
  </si>
  <si>
    <t>Red Flags</t>
  </si>
  <si>
    <t>Federal Pacific MSP</t>
  </si>
  <si>
    <t>Fuse Box instead of MSP</t>
  </si>
  <si>
    <t>Bulldog Pushmatic MSP</t>
  </si>
  <si>
    <t>MSP is damaged</t>
  </si>
  <si>
    <t>MSP is in a Bathroom</t>
  </si>
  <si>
    <t>Meter is in the house</t>
  </si>
  <si>
    <t>Relocate to adjacent exterior wall</t>
  </si>
  <si>
    <t>Relocate MSP</t>
  </si>
  <si>
    <t>Call out in red flags column</t>
  </si>
  <si>
    <t>Solutions</t>
  </si>
  <si>
    <t>Meter (or conduit around meter) is damaged or in poor condition</t>
  </si>
  <si>
    <t>*Call out all of these Red Flags in the internal and shared Palmetto Smartsheets!</t>
  </si>
  <si>
    <t>Yes or No?</t>
  </si>
  <si>
    <t>Call out in red flags column, Palmetto will detmermine if homeowner wants to upgrade MSP</t>
  </si>
  <si>
    <t>NEC 2017 or 2014?</t>
  </si>
  <si>
    <t>2% DB High + Temp. Adder (°F)</t>
  </si>
  <si>
    <t>**TEMPERATURE FACTOR IS BASED ON 2% DRY BULB HIGH WITH NO TEMPERATURE ADDER THEREFORE RACEWAYS MUST BE AT LEAST 7/8'' ABOVE ROOF"</t>
  </si>
  <si>
    <t>**TEMPERATURE FACTOR IS BASED ON 2% DRY BULB HIGH WITH NO TEMPERATURE ADDER THEREFORE RACEWAYS MUST BE AT LEAST 7/8'' ABOVE ROOF</t>
  </si>
  <si>
    <t>OCPD Size</t>
  </si>
  <si>
    <t>Conductor Sizes without accounting for LST (NEC ______)</t>
  </si>
  <si>
    <t>ID 4</t>
  </si>
  <si>
    <t>ID 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</si>
</sst>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0"/>
    <numFmt numFmtId="165" formatCode="0.0"/>
    <numFmt numFmtId="166" formatCode="0.0%"/>
    <numFmt numFmtId="167" formatCode="0.000"/>
    <numFmt numFmtId="168" formatCode="0.00000"/>
  </numFmts>
  <fonts count="20" x14ac:knownFonts="1">
    <font>
      <sz val="11"/>
      <color theme="1"/>
      <name val="Calibri"/>
      <family val="2"/>
      <scheme val="minor"/>
    </font>
    <font>
      <b/>
      <u/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u/>
      <sz val="10"/>
      <color theme="1"/>
      <name val="Arial"/>
      <family val="2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FF0000"/>
      <name val="Arial"/>
      <family val="2"/>
    </font>
    <font>
      <sz val="10"/>
      <color rgb="FF00B050"/>
      <name val="Arial"/>
      <family val="2"/>
    </font>
    <font>
      <b/>
      <sz val="10"/>
      <color theme="0"/>
      <name val="Arial"/>
      <family val="2"/>
    </font>
    <font>
      <sz val="10"/>
      <color rgb="FF000000"/>
      <name val="Arial"/>
      <family val="2"/>
    </font>
    <font>
      <b/>
      <sz val="11"/>
      <color rgb="FFFF000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101"/>
      <name val="Calibri"/>
      <family val="2"/>
      <scheme val="minor"/>
    </font>
    <font>
      <b/>
      <sz val="11"/>
      <color rgb="FF0070C0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C5F0FF"/>
        <bgColor indexed="64"/>
      </patternFill>
    </fill>
    <fill>
      <patternFill patternType="solid">
        <fgColor rgb="FFFB979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rgb="FFCCFFCC"/>
        <bgColor indexed="64"/>
      </patternFill>
    </fill>
  </fills>
  <borders count="5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theme="0" tint="-0.14996795556505021"/>
      </top>
      <bottom/>
      <diagonal/>
    </border>
    <border>
      <left style="thin">
        <color indexed="64"/>
      </left>
      <right style="thin">
        <color indexed="64"/>
      </right>
      <top style="thin">
        <color theme="2" tint="-9.9978637043366805E-2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theme="2" tint="-9.9978637043366805E-2"/>
      </bottom>
      <diagonal/>
    </border>
    <border>
      <left style="thin">
        <color indexed="64"/>
      </left>
      <right style="thin">
        <color indexed="64"/>
      </right>
      <top style="thin">
        <color theme="2" tint="-9.9978637043366805E-2"/>
      </top>
      <bottom style="thin">
        <color theme="2" tint="-9.9978637043366805E-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2" tint="-9.9978637043366805E-2"/>
      </bottom>
      <diagonal/>
    </border>
    <border>
      <left style="thin">
        <color indexed="64"/>
      </left>
      <right style="thin">
        <color indexed="64"/>
      </right>
      <top style="thin">
        <color theme="2" tint="-9.9978637043366805E-2"/>
      </top>
      <bottom style="thin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theme="2" tint="-9.9978637043366805E-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2" tint="-9.9978637043366805E-2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theme="2" tint="-9.9978637043366805E-2"/>
      </bottom>
      <diagonal/>
    </border>
    <border>
      <left style="thin">
        <color indexed="64"/>
      </left>
      <right/>
      <top/>
      <bottom style="thin">
        <color theme="2" tint="-9.9978637043366805E-2"/>
      </bottom>
      <diagonal/>
    </border>
    <border>
      <left/>
      <right/>
      <top/>
      <bottom style="thin">
        <color theme="2" tint="-9.9978637043366805E-2"/>
      </bottom>
      <diagonal/>
    </border>
    <border>
      <left/>
      <right style="thin">
        <color indexed="64"/>
      </right>
      <top/>
      <bottom style="thin">
        <color theme="2" tint="-9.9978637043366805E-2"/>
      </bottom>
      <diagonal/>
    </border>
    <border>
      <left style="thin">
        <color indexed="64"/>
      </left>
      <right/>
      <top style="thin">
        <color theme="2" tint="-9.9978637043366805E-2"/>
      </top>
      <bottom style="thin">
        <color theme="2" tint="-9.9978637043366805E-2"/>
      </bottom>
      <diagonal/>
    </border>
    <border>
      <left/>
      <right/>
      <top style="thin">
        <color theme="2" tint="-9.9978637043366805E-2"/>
      </top>
      <bottom style="thin">
        <color theme="2" tint="-9.9978637043366805E-2"/>
      </bottom>
      <diagonal/>
    </border>
    <border>
      <left/>
      <right style="thin">
        <color indexed="64"/>
      </right>
      <top style="thin">
        <color theme="2" tint="-9.9978637043366805E-2"/>
      </top>
      <bottom style="thin">
        <color theme="2" tint="-9.9978637043366805E-2"/>
      </bottom>
      <diagonal/>
    </border>
    <border>
      <left style="thin">
        <color indexed="64"/>
      </left>
      <right style="thin">
        <color indexed="64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theme="2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2"/>
      </bottom>
      <diagonal/>
    </border>
    <border>
      <left style="thin">
        <color indexed="64"/>
      </left>
      <right/>
      <top style="thin">
        <color theme="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 tint="-0.14999847407452621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 tint="-0.14999847407452621"/>
      </top>
      <bottom/>
      <diagonal/>
    </border>
    <border>
      <left/>
      <right style="thin">
        <color indexed="64"/>
      </right>
      <top style="thin">
        <color indexed="64"/>
      </top>
      <bottom style="thin">
        <color theme="2" tint="-9.9978637043366805E-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14999847407452621"/>
      </bottom>
      <diagonal/>
    </border>
    <border>
      <left style="thin">
        <color indexed="64"/>
      </left>
      <right style="thin">
        <color indexed="64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indexed="64"/>
      </left>
      <right/>
      <top style="thin">
        <color theme="0" tint="-0.14999847407452621"/>
      </top>
      <bottom style="thin">
        <color indexed="64"/>
      </bottom>
      <diagonal/>
    </border>
    <border>
      <left/>
      <right/>
      <top style="thin">
        <color theme="0" tint="-0.1499984740745262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14999847407452621"/>
      </top>
      <bottom style="thin">
        <color indexed="64"/>
      </bottom>
      <diagonal/>
    </border>
    <border>
      <left style="thin">
        <color indexed="64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indexed="64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/>
      <top/>
      <bottom style="thin">
        <color theme="0" tint="-0.14999847407452621"/>
      </bottom>
      <diagonal/>
    </border>
    <border>
      <left/>
      <right style="thin">
        <color indexed="64"/>
      </right>
      <top/>
      <bottom style="thin">
        <color theme="0" tint="-0.14999847407452621"/>
      </bottom>
      <diagonal/>
    </border>
    <border>
      <left style="thin">
        <color indexed="64"/>
      </left>
      <right style="thin">
        <color indexed="64"/>
      </right>
      <top style="thin">
        <color theme="2" tint="-9.9978637043366805E-2"/>
      </top>
      <bottom style="thin">
        <color theme="0" tint="-0.14999847407452621"/>
      </bottom>
      <diagonal/>
    </border>
    <border>
      <left style="thin">
        <color indexed="64"/>
      </left>
      <right/>
      <top style="thin">
        <color theme="0" tint="-0.14999847407452621"/>
      </top>
      <bottom/>
      <diagonal/>
    </border>
  </borders>
  <cellStyleXfs count="2">
    <xf numFmtId="0" fontId="0" fillId="0" borderId="0"/>
    <xf numFmtId="9" fontId="9" fillId="0" borderId="0" applyFont="0" applyFill="0" applyBorder="0" applyAlignment="0" applyProtection="0"/>
  </cellStyleXfs>
  <cellXfs count="654">
    <xf numFmtId="0" fontId="0" fillId="0" borderId="0" xfId="0"/>
    <xf numFmtId="0" fontId="2" fillId="0" borderId="0" xfId="0" applyFont="1"/>
    <xf numFmtId="0" fontId="3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3" fillId="0" borderId="0" xfId="0" applyFont="1" applyAlignment="1">
      <alignment horizontal="center" wrapText="1"/>
    </xf>
    <xf numFmtId="0" fontId="2" fillId="0" borderId="0" xfId="0" applyFont="1" applyAlignment="1">
      <alignment horizontal="center"/>
    </xf>
    <xf numFmtId="9" fontId="3" fillId="0" borderId="10" xfId="0" applyNumberFormat="1" applyFont="1" applyBorder="1" applyAlignment="1">
      <alignment horizontal="center"/>
    </xf>
    <xf numFmtId="2" fontId="2" fillId="0" borderId="15" xfId="0" applyNumberFormat="1" applyFont="1" applyBorder="1" applyAlignment="1">
      <alignment horizontal="center"/>
    </xf>
    <xf numFmtId="2" fontId="2" fillId="0" borderId="2" xfId="0" applyNumberFormat="1" applyFont="1" applyBorder="1" applyAlignment="1">
      <alignment horizontal="center"/>
    </xf>
    <xf numFmtId="2" fontId="2" fillId="0" borderId="0" xfId="0" applyNumberFormat="1" applyFont="1" applyAlignment="1">
      <alignment horizontal="center"/>
    </xf>
    <xf numFmtId="2" fontId="2" fillId="0" borderId="4" xfId="0" applyNumberFormat="1" applyFont="1" applyBorder="1" applyAlignment="1">
      <alignment horizontal="center"/>
    </xf>
    <xf numFmtId="2" fontId="2" fillId="0" borderId="6" xfId="0" applyNumberFormat="1" applyFont="1" applyBorder="1" applyAlignment="1">
      <alignment horizontal="center"/>
    </xf>
    <xf numFmtId="2" fontId="2" fillId="0" borderId="14" xfId="0" applyNumberFormat="1" applyFont="1" applyBorder="1" applyAlignment="1">
      <alignment horizontal="center"/>
    </xf>
    <xf numFmtId="0" fontId="3" fillId="0" borderId="1" xfId="0" applyFont="1" applyBorder="1" applyAlignment="1">
      <alignment horizontal="center" wrapText="1"/>
    </xf>
    <xf numFmtId="0" fontId="3" fillId="0" borderId="2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11" xfId="0" applyFont="1" applyBorder="1" applyAlignment="1">
      <alignment horizontal="left"/>
    </xf>
    <xf numFmtId="0" fontId="2" fillId="0" borderId="12" xfId="0" applyFont="1" applyBorder="1" applyAlignment="1">
      <alignment horizontal="left"/>
    </xf>
    <xf numFmtId="0" fontId="2" fillId="0" borderId="13" xfId="0" applyFont="1" applyBorder="1" applyAlignment="1">
      <alignment horizontal="left"/>
    </xf>
    <xf numFmtId="2" fontId="2" fillId="0" borderId="0" xfId="0" applyNumberFormat="1" applyFont="1"/>
    <xf numFmtId="0" fontId="2" fillId="0" borderId="4" xfId="0" quotePrefix="1" applyFont="1" applyBorder="1" applyAlignment="1">
      <alignment horizontal="center"/>
    </xf>
    <xf numFmtId="0" fontId="2" fillId="0" borderId="0" xfId="0" quotePrefix="1" applyFont="1"/>
    <xf numFmtId="49" fontId="2" fillId="0" borderId="0" xfId="0" applyNumberFormat="1" applyFont="1"/>
    <xf numFmtId="0" fontId="2" fillId="0" borderId="0" xfId="0" applyFont="1" applyAlignment="1">
      <alignment horizontal="left"/>
    </xf>
    <xf numFmtId="0" fontId="2" fillId="4" borderId="0" xfId="0" applyFont="1" applyFill="1"/>
    <xf numFmtId="0" fontId="2" fillId="4" borderId="14" xfId="0" applyFont="1" applyFill="1" applyBorder="1"/>
    <xf numFmtId="0" fontId="2" fillId="4" borderId="9" xfId="0" applyFont="1" applyFill="1" applyBorder="1"/>
    <xf numFmtId="0" fontId="2" fillId="4" borderId="5" xfId="0" applyFont="1" applyFill="1" applyBorder="1"/>
    <xf numFmtId="0" fontId="2" fillId="4" borderId="6" xfId="0" applyFont="1" applyFill="1" applyBorder="1" applyAlignment="1">
      <alignment horizontal="center"/>
    </xf>
    <xf numFmtId="0" fontId="2" fillId="0" borderId="0" xfId="0" applyFont="1" applyAlignment="1">
      <alignment horizontal="right"/>
    </xf>
    <xf numFmtId="0" fontId="3" fillId="0" borderId="0" xfId="0" applyFont="1" applyAlignment="1">
      <alignment vertical="center"/>
    </xf>
    <xf numFmtId="0" fontId="3" fillId="0" borderId="0" xfId="0" applyFont="1"/>
    <xf numFmtId="0" fontId="3" fillId="4" borderId="1" xfId="0" applyFont="1" applyFill="1" applyBorder="1"/>
    <xf numFmtId="0" fontId="2" fillId="4" borderId="2" xfId="0" applyFont="1" applyFill="1" applyBorder="1"/>
    <xf numFmtId="0" fontId="2" fillId="4" borderId="4" xfId="0" applyFont="1" applyFill="1" applyBorder="1"/>
    <xf numFmtId="0" fontId="2" fillId="4" borderId="4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4" borderId="4" xfId="0" applyFont="1" applyFill="1" applyBorder="1" applyAlignment="1">
      <alignment wrapText="1"/>
    </xf>
    <xf numFmtId="0" fontId="2" fillId="4" borderId="0" xfId="0" applyFont="1" applyFill="1" applyAlignment="1">
      <alignment horizontal="center" vertical="center"/>
    </xf>
    <xf numFmtId="0" fontId="2" fillId="4" borderId="6" xfId="0" applyFont="1" applyFill="1" applyBorder="1"/>
    <xf numFmtId="0" fontId="2" fillId="4" borderId="11" xfId="0" applyFont="1" applyFill="1" applyBorder="1"/>
    <xf numFmtId="0" fontId="2" fillId="4" borderId="12" xfId="0" applyFont="1" applyFill="1" applyBorder="1"/>
    <xf numFmtId="0" fontId="3" fillId="0" borderId="0" xfId="0" applyFont="1" applyAlignment="1">
      <alignment horizontal="right"/>
    </xf>
    <xf numFmtId="0" fontId="2" fillId="4" borderId="13" xfId="0" applyFont="1" applyFill="1" applyBorder="1"/>
    <xf numFmtId="0" fontId="3" fillId="2" borderId="1" xfId="0" applyFont="1" applyFill="1" applyBorder="1" applyAlignment="1">
      <alignment vertical="center" wrapText="1"/>
    </xf>
    <xf numFmtId="0" fontId="3" fillId="0" borderId="1" xfId="0" applyFont="1" applyBorder="1" applyAlignment="1">
      <alignment horizontal="center" vertical="center"/>
    </xf>
    <xf numFmtId="0" fontId="2" fillId="4" borderId="15" xfId="0" applyFont="1" applyFill="1" applyBorder="1"/>
    <xf numFmtId="0" fontId="2" fillId="4" borderId="7" xfId="0" applyFont="1" applyFill="1" applyBorder="1"/>
    <xf numFmtId="0" fontId="2" fillId="0" borderId="0" xfId="0" quotePrefix="1" applyFont="1" applyAlignment="1">
      <alignment horizontal="left"/>
    </xf>
    <xf numFmtId="0" fontId="4" fillId="4" borderId="0" xfId="0" applyFont="1" applyFill="1" applyAlignment="1">
      <alignment horizontal="left"/>
    </xf>
    <xf numFmtId="0" fontId="2" fillId="4" borderId="3" xfId="0" applyFont="1" applyFill="1" applyBorder="1"/>
    <xf numFmtId="0" fontId="1" fillId="4" borderId="11" xfId="0" applyFont="1" applyFill="1" applyBorder="1"/>
    <xf numFmtId="0" fontId="2" fillId="4" borderId="14" xfId="0" applyFont="1" applyFill="1" applyBorder="1" applyAlignment="1">
      <alignment horizontal="left"/>
    </xf>
    <xf numFmtId="165" fontId="2" fillId="4" borderId="5" xfId="0" applyNumberFormat="1" applyFont="1" applyFill="1" applyBorder="1" applyAlignment="1">
      <alignment horizontal="left"/>
    </xf>
    <xf numFmtId="0" fontId="2" fillId="4" borderId="5" xfId="0" applyFont="1" applyFill="1" applyBorder="1" applyAlignment="1">
      <alignment horizontal="left"/>
    </xf>
    <xf numFmtId="0" fontId="5" fillId="4" borderId="12" xfId="0" applyFont="1" applyFill="1" applyBorder="1"/>
    <xf numFmtId="0" fontId="3" fillId="0" borderId="1" xfId="0" applyFont="1" applyBorder="1" applyAlignment="1">
      <alignment horizontal="center"/>
    </xf>
    <xf numFmtId="16" fontId="2" fillId="4" borderId="1" xfId="0" quotePrefix="1" applyNumberFormat="1" applyFont="1" applyFill="1" applyBorder="1" applyAlignment="1">
      <alignment horizontal="center"/>
    </xf>
    <xf numFmtId="0" fontId="1" fillId="0" borderId="0" xfId="0" applyFont="1"/>
    <xf numFmtId="0" fontId="3" fillId="4" borderId="0" xfId="0" applyFont="1" applyFill="1" applyAlignment="1">
      <alignment horizontal="center"/>
    </xf>
    <xf numFmtId="0" fontId="6" fillId="7" borderId="1" xfId="0" applyFont="1" applyFill="1" applyBorder="1" applyAlignment="1">
      <alignment horizontal="center"/>
    </xf>
    <xf numFmtId="0" fontId="0" fillId="4" borderId="0" xfId="0" applyFill="1" applyAlignment="1">
      <alignment horizontal="center" vertical="center"/>
    </xf>
    <xf numFmtId="0" fontId="2" fillId="0" borderId="14" xfId="0" applyFont="1" applyBorder="1" applyAlignment="1">
      <alignment horizontal="center"/>
    </xf>
    <xf numFmtId="0" fontId="6" fillId="7" borderId="8" xfId="0" applyFont="1" applyFill="1" applyBorder="1" applyAlignment="1">
      <alignment horizontal="center"/>
    </xf>
    <xf numFmtId="0" fontId="6" fillId="7" borderId="9" xfId="0" applyFont="1" applyFill="1" applyBorder="1" applyAlignment="1">
      <alignment horizontal="center"/>
    </xf>
    <xf numFmtId="0" fontId="6" fillId="7" borderId="10" xfId="0" applyFont="1" applyFill="1" applyBorder="1" applyAlignment="1">
      <alignment horizontal="center"/>
    </xf>
    <xf numFmtId="0" fontId="8" fillId="4" borderId="0" xfId="0" applyFont="1" applyFill="1"/>
    <xf numFmtId="0" fontId="0" fillId="0" borderId="4" xfId="0" applyBorder="1"/>
    <xf numFmtId="0" fontId="0" fillId="4" borderId="4" xfId="0" applyFill="1" applyBorder="1"/>
    <xf numFmtId="0" fontId="0" fillId="4" borderId="6" xfId="0" applyFill="1" applyBorder="1"/>
    <xf numFmtId="0" fontId="6" fillId="0" borderId="0" xfId="0" applyFont="1"/>
    <xf numFmtId="0" fontId="6" fillId="0" borderId="12" xfId="0" applyFont="1" applyBorder="1"/>
    <xf numFmtId="0" fontId="6" fillId="7" borderId="2" xfId="0" applyFont="1" applyFill="1" applyBorder="1" applyAlignment="1">
      <alignment horizontal="center"/>
    </xf>
    <xf numFmtId="0" fontId="0" fillId="4" borderId="0" xfId="0" applyFill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4" xfId="0" quotePrefix="1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2" xfId="0" applyFill="1" applyBorder="1"/>
    <xf numFmtId="0" fontId="0" fillId="4" borderId="15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14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166" fontId="0" fillId="4" borderId="0" xfId="1" applyNumberFormat="1" applyFont="1" applyFill="1" applyAlignment="1">
      <alignment horizontal="center"/>
    </xf>
    <xf numFmtId="166" fontId="0" fillId="4" borderId="14" xfId="1" applyNumberFormat="1" applyFont="1" applyFill="1" applyBorder="1" applyAlignment="1">
      <alignment horizontal="center"/>
    </xf>
    <xf numFmtId="0" fontId="6" fillId="4" borderId="0" xfId="0" applyFont="1" applyFill="1" applyAlignment="1">
      <alignment horizontal="center" vertical="center"/>
    </xf>
    <xf numFmtId="0" fontId="6" fillId="7" borderId="1" xfId="0" applyFont="1" applyFill="1" applyBorder="1"/>
    <xf numFmtId="0" fontId="6" fillId="10" borderId="1" xfId="0" applyFont="1" applyFill="1" applyBorder="1" applyAlignment="1">
      <alignment horizontal="center"/>
    </xf>
    <xf numFmtId="0" fontId="3" fillId="0" borderId="15" xfId="0" applyFont="1" applyBorder="1"/>
    <xf numFmtId="0" fontId="0" fillId="4" borderId="4" xfId="0" applyFill="1" applyBorder="1" applyAlignment="1">
      <alignment horizontal="center" vertical="center"/>
    </xf>
    <xf numFmtId="0" fontId="2" fillId="4" borderId="4" xfId="0" applyFont="1" applyFill="1" applyBorder="1" applyAlignment="1">
      <alignment horizontal="center" vertical="center"/>
    </xf>
    <xf numFmtId="0" fontId="2" fillId="0" borderId="5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3" fillId="4" borderId="1" xfId="0" applyFont="1" applyFill="1" applyBorder="1" applyAlignment="1">
      <alignment horizontal="center"/>
    </xf>
    <xf numFmtId="0" fontId="2" fillId="4" borderId="0" xfId="0" applyFont="1" applyFill="1" applyAlignment="1">
      <alignment horizontal="center"/>
    </xf>
    <xf numFmtId="0" fontId="2" fillId="0" borderId="12" xfId="0" applyFont="1" applyBorder="1" applyAlignment="1">
      <alignment horizontal="center"/>
    </xf>
    <xf numFmtId="0" fontId="2" fillId="4" borderId="8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49" fontId="2" fillId="0" borderId="0" xfId="0" applyNumberFormat="1" applyFont="1" applyAlignment="1">
      <alignment horizontal="center"/>
    </xf>
    <xf numFmtId="0" fontId="2" fillId="4" borderId="2" xfId="0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0" fontId="3" fillId="0" borderId="8" xfId="0" applyFont="1" applyBorder="1" applyAlignment="1">
      <alignment horizontal="center"/>
    </xf>
    <xf numFmtId="2" fontId="2" fillId="0" borderId="13" xfId="0" applyNumberFormat="1" applyFont="1" applyBorder="1" applyAlignment="1">
      <alignment horizontal="center"/>
    </xf>
    <xf numFmtId="0" fontId="2" fillId="4" borderId="5" xfId="0" applyFont="1" applyFill="1" applyBorder="1" applyAlignment="1">
      <alignment horizontal="center"/>
    </xf>
    <xf numFmtId="0" fontId="0" fillId="4" borderId="2" xfId="0" quotePrefix="1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0" xfId="0" applyFill="1"/>
    <xf numFmtId="0" fontId="0" fillId="4" borderId="5" xfId="0" applyFill="1" applyBorder="1"/>
    <xf numFmtId="0" fontId="0" fillId="4" borderId="14" xfId="0" applyFill="1" applyBorder="1"/>
    <xf numFmtId="0" fontId="0" fillId="4" borderId="7" xfId="0" applyFill="1" applyBorder="1"/>
    <xf numFmtId="0" fontId="0" fillId="4" borderId="7" xfId="0" applyFill="1" applyBorder="1" applyAlignment="1">
      <alignment horizontal="center"/>
    </xf>
    <xf numFmtId="0" fontId="6" fillId="2" borderId="2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4" borderId="11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0" fillId="4" borderId="22" xfId="0" applyFill="1" applyBorder="1" applyAlignment="1">
      <alignment horizontal="center" vertical="center"/>
    </xf>
    <xf numFmtId="0" fontId="6" fillId="10" borderId="1" xfId="0" applyFont="1" applyFill="1" applyBorder="1" applyAlignment="1">
      <alignment horizontal="center" vertical="center"/>
    </xf>
    <xf numFmtId="0" fontId="7" fillId="4" borderId="0" xfId="0" applyFont="1" applyFill="1"/>
    <xf numFmtId="0" fontId="0" fillId="4" borderId="23" xfId="0" applyFill="1" applyBorder="1" applyAlignment="1">
      <alignment horizontal="center" vertical="center"/>
    </xf>
    <xf numFmtId="0" fontId="0" fillId="4" borderId="26" xfId="0" applyFill="1" applyBorder="1" applyAlignment="1">
      <alignment horizontal="center" vertical="center"/>
    </xf>
    <xf numFmtId="0" fontId="0" fillId="4" borderId="27" xfId="0" applyFill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4" borderId="25" xfId="0" applyFill="1" applyBorder="1" applyAlignment="1">
      <alignment horizontal="center" vertical="center"/>
    </xf>
    <xf numFmtId="0" fontId="0" fillId="4" borderId="29" xfId="0" applyFill="1" applyBorder="1" applyAlignment="1">
      <alignment horizontal="center" vertical="center"/>
    </xf>
    <xf numFmtId="0" fontId="0" fillId="4" borderId="11" xfId="0" applyFill="1" applyBorder="1"/>
    <xf numFmtId="0" fontId="0" fillId="4" borderId="15" xfId="0" applyFill="1" applyBorder="1"/>
    <xf numFmtId="0" fontId="0" fillId="4" borderId="3" xfId="0" applyFill="1" applyBorder="1"/>
    <xf numFmtId="0" fontId="0" fillId="4" borderId="12" xfId="0" applyFill="1" applyBorder="1"/>
    <xf numFmtId="0" fontId="0" fillId="4" borderId="13" xfId="0" applyFill="1" applyBorder="1"/>
    <xf numFmtId="0" fontId="6" fillId="7" borderId="2" xfId="0" applyFont="1" applyFill="1" applyBorder="1"/>
    <xf numFmtId="0" fontId="6" fillId="7" borderId="3" xfId="0" applyFont="1" applyFill="1" applyBorder="1"/>
    <xf numFmtId="0" fontId="0" fillId="4" borderId="1" xfId="0" applyFill="1" applyBorder="1"/>
    <xf numFmtId="0" fontId="8" fillId="0" borderId="0" xfId="0" applyFont="1"/>
    <xf numFmtId="0" fontId="0" fillId="0" borderId="11" xfId="0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6" fillId="0" borderId="9" xfId="0" applyFont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12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6" fillId="0" borderId="10" xfId="0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167" fontId="0" fillId="4" borderId="15" xfId="0" applyNumberFormat="1" applyFill="1" applyBorder="1" applyAlignment="1">
      <alignment horizontal="center"/>
    </xf>
    <xf numFmtId="2" fontId="0" fillId="4" borderId="2" xfId="0" applyNumberFormat="1" applyFill="1" applyBorder="1" applyAlignment="1">
      <alignment horizontal="center"/>
    </xf>
    <xf numFmtId="10" fontId="0" fillId="4" borderId="2" xfId="0" applyNumberFormat="1" applyFill="1" applyBorder="1" applyAlignment="1">
      <alignment horizontal="center"/>
    </xf>
    <xf numFmtId="0" fontId="6" fillId="0" borderId="8" xfId="0" applyFont="1" applyBorder="1" applyAlignment="1">
      <alignment horizontal="center"/>
    </xf>
    <xf numFmtId="0" fontId="6" fillId="0" borderId="13" xfId="0" applyFont="1" applyBorder="1" applyAlignment="1">
      <alignment horizontal="center"/>
    </xf>
    <xf numFmtId="168" fontId="0" fillId="0" borderId="6" xfId="0" applyNumberFormat="1" applyBorder="1" applyAlignment="1">
      <alignment horizontal="center"/>
    </xf>
    <xf numFmtId="167" fontId="0" fillId="4" borderId="4" xfId="0" applyNumberFormat="1" applyFill="1" applyBorder="1" applyAlignment="1">
      <alignment horizontal="center"/>
    </xf>
    <xf numFmtId="2" fontId="0" fillId="4" borderId="4" xfId="0" applyNumberFormat="1" applyFill="1" applyBorder="1" applyAlignment="1">
      <alignment horizontal="center"/>
    </xf>
    <xf numFmtId="10" fontId="0" fillId="4" borderId="4" xfId="0" applyNumberFormat="1" applyFill="1" applyBorder="1" applyAlignment="1">
      <alignment horizontal="center"/>
    </xf>
    <xf numFmtId="0" fontId="0" fillId="0" borderId="6" xfId="0" applyBorder="1" applyAlignment="1">
      <alignment horizontal="center"/>
    </xf>
    <xf numFmtId="167" fontId="0" fillId="0" borderId="6" xfId="0" applyNumberFormat="1" applyBorder="1" applyAlignment="1">
      <alignment horizontal="center"/>
    </xf>
    <xf numFmtId="167" fontId="0" fillId="4" borderId="0" xfId="0" applyNumberFormat="1" applyFill="1" applyAlignment="1">
      <alignment horizontal="center"/>
    </xf>
    <xf numFmtId="167" fontId="0" fillId="0" borderId="0" xfId="0" applyNumberFormat="1" applyAlignment="1">
      <alignment horizontal="center"/>
    </xf>
    <xf numFmtId="167" fontId="0" fillId="4" borderId="6" xfId="0" applyNumberFormat="1" applyFill="1" applyBorder="1" applyAlignment="1">
      <alignment horizontal="center"/>
    </xf>
    <xf numFmtId="2" fontId="0" fillId="4" borderId="6" xfId="0" applyNumberFormat="1" applyFill="1" applyBorder="1" applyAlignment="1">
      <alignment horizontal="center"/>
    </xf>
    <xf numFmtId="10" fontId="0" fillId="4" borderId="6" xfId="0" applyNumberFormat="1" applyFill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5" xfId="0" applyBorder="1"/>
    <xf numFmtId="10" fontId="0" fillId="0" borderId="15" xfId="0" applyNumberForma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2" xfId="0" applyFont="1" applyBorder="1" applyAlignment="1">
      <alignment horizontal="center" vertical="center"/>
    </xf>
    <xf numFmtId="0" fontId="0" fillId="0" borderId="13" xfId="0" applyBorder="1" applyAlignment="1">
      <alignment horizontal="center"/>
    </xf>
    <xf numFmtId="0" fontId="6" fillId="0" borderId="6" xfId="0" applyFont="1" applyBorder="1" applyAlignment="1">
      <alignment horizontal="center"/>
    </xf>
    <xf numFmtId="0" fontId="0" fillId="4" borderId="0" xfId="0" applyFill="1" applyAlignment="1">
      <alignment horizontal="left"/>
    </xf>
    <xf numFmtId="0" fontId="0" fillId="8" borderId="26" xfId="0" applyFill="1" applyBorder="1" applyAlignment="1">
      <alignment horizontal="center" vertical="center"/>
    </xf>
    <xf numFmtId="0" fontId="0" fillId="4" borderId="0" xfId="0" applyFill="1" applyAlignment="1">
      <alignment vertical="center"/>
    </xf>
    <xf numFmtId="0" fontId="0" fillId="8" borderId="4" xfId="0" applyFill="1" applyBorder="1" applyAlignment="1">
      <alignment horizontal="center" vertical="center"/>
    </xf>
    <xf numFmtId="0" fontId="0" fillId="8" borderId="2" xfId="0" applyFill="1" applyBorder="1" applyAlignment="1">
      <alignment horizontal="center" vertical="center"/>
    </xf>
    <xf numFmtId="0" fontId="0" fillId="4" borderId="2" xfId="0" applyFill="1" applyBorder="1" applyAlignment="1">
      <alignment horizontal="left" vertical="center"/>
    </xf>
    <xf numFmtId="0" fontId="0" fillId="8" borderId="25" xfId="0" applyFill="1" applyBorder="1" applyAlignment="1">
      <alignment horizontal="center" vertical="center"/>
    </xf>
    <xf numFmtId="0" fontId="0" fillId="8" borderId="29" xfId="0" applyFill="1" applyBorder="1" applyAlignment="1">
      <alignment horizontal="center" vertical="center"/>
    </xf>
    <xf numFmtId="0" fontId="0" fillId="4" borderId="28" xfId="0" applyFill="1" applyBorder="1" applyAlignment="1">
      <alignment horizontal="left" vertical="center"/>
    </xf>
    <xf numFmtId="0" fontId="0" fillId="8" borderId="28" xfId="0" applyFill="1" applyBorder="1" applyAlignment="1">
      <alignment horizontal="center" vertical="center"/>
    </xf>
    <xf numFmtId="0" fontId="0" fillId="4" borderId="28" xfId="0" applyFill="1" applyBorder="1" applyAlignment="1">
      <alignment horizontal="center" vertical="center"/>
    </xf>
    <xf numFmtId="0" fontId="0" fillId="8" borderId="24" xfId="0" applyFill="1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" xfId="0" applyBorder="1"/>
    <xf numFmtId="167" fontId="0" fillId="0" borderId="0" xfId="0" applyNumberFormat="1"/>
    <xf numFmtId="0" fontId="0" fillId="0" borderId="30" xfId="0" applyBorder="1" applyAlignment="1">
      <alignment horizontal="center" vertical="center"/>
    </xf>
    <xf numFmtId="0" fontId="0" fillId="0" borderId="25" xfId="0" applyBorder="1"/>
    <xf numFmtId="0" fontId="0" fillId="4" borderId="24" xfId="0" applyFill="1" applyBorder="1" applyAlignment="1">
      <alignment horizontal="center" vertical="center"/>
    </xf>
    <xf numFmtId="0" fontId="0" fillId="0" borderId="6" xfId="0" applyBorder="1"/>
    <xf numFmtId="0" fontId="0" fillId="4" borderId="26" xfId="0" applyFill="1" applyBorder="1" applyAlignment="1">
      <alignment horizontal="center" vertical="center" wrapText="1"/>
    </xf>
    <xf numFmtId="0" fontId="0" fillId="4" borderId="0" xfId="0" applyFill="1" applyAlignment="1">
      <alignment horizontal="center" vertical="center" wrapText="1"/>
    </xf>
    <xf numFmtId="0" fontId="0" fillId="4" borderId="28" xfId="0" applyFill="1" applyBorder="1" applyAlignment="1">
      <alignment horizontal="center" vertical="center" wrapText="1"/>
    </xf>
    <xf numFmtId="0" fontId="0" fillId="0" borderId="0" xfId="0" applyAlignment="1">
      <alignment horizontal="left"/>
    </xf>
    <xf numFmtId="0" fontId="11" fillId="0" borderId="0" xfId="0" applyFont="1"/>
    <xf numFmtId="0" fontId="12" fillId="0" borderId="14" xfId="0" applyFont="1" applyBorder="1"/>
    <xf numFmtId="0" fontId="2" fillId="0" borderId="14" xfId="0" applyFont="1" applyBorder="1"/>
    <xf numFmtId="0" fontId="2" fillId="2" borderId="1" xfId="0" applyFont="1" applyFill="1" applyBorder="1"/>
    <xf numFmtId="0" fontId="11" fillId="0" borderId="1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11" fillId="4" borderId="1" xfId="0" applyFont="1" applyFill="1" applyBorder="1" applyAlignment="1">
      <alignment horizontal="center"/>
    </xf>
    <xf numFmtId="0" fontId="2" fillId="9" borderId="10" xfId="0" applyFont="1" applyFill="1" applyBorder="1" applyAlignment="1">
      <alignment horizontal="center"/>
    </xf>
    <xf numFmtId="0" fontId="2" fillId="9" borderId="1" xfId="0" applyFont="1" applyFill="1" applyBorder="1" applyAlignment="1">
      <alignment horizontal="center"/>
    </xf>
    <xf numFmtId="2" fontId="2" fillId="0" borderId="1" xfId="0" applyNumberFormat="1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11" fillId="0" borderId="2" xfId="0" applyFont="1" applyBorder="1" applyAlignment="1">
      <alignment horizontal="center"/>
    </xf>
    <xf numFmtId="0" fontId="2" fillId="9" borderId="3" xfId="0" applyFont="1" applyFill="1" applyBorder="1" applyAlignment="1">
      <alignment horizontal="center"/>
    </xf>
    <xf numFmtId="0" fontId="2" fillId="9" borderId="2" xfId="0" applyFont="1" applyFill="1" applyBorder="1" applyAlignment="1">
      <alignment horizontal="center"/>
    </xf>
    <xf numFmtId="0" fontId="13" fillId="0" borderId="0" xfId="0" applyFont="1"/>
    <xf numFmtId="0" fontId="14" fillId="0" borderId="0" xfId="0" applyFont="1"/>
    <xf numFmtId="165" fontId="2" fillId="0" borderId="1" xfId="0" applyNumberFormat="1" applyFont="1" applyBorder="1" applyAlignment="1">
      <alignment horizontal="center"/>
    </xf>
    <xf numFmtId="0" fontId="10" fillId="0" borderId="0" xfId="0" applyFont="1"/>
    <xf numFmtId="0" fontId="0" fillId="8" borderId="2" xfId="0" applyFill="1" applyBorder="1" applyAlignment="1">
      <alignment horizontal="center"/>
    </xf>
    <xf numFmtId="0" fontId="0" fillId="8" borderId="4" xfId="0" applyFill="1" applyBorder="1" applyAlignment="1">
      <alignment horizontal="center"/>
    </xf>
    <xf numFmtId="0" fontId="0" fillId="8" borderId="6" xfId="0" applyFill="1" applyBorder="1" applyAlignment="1">
      <alignment horizontal="center"/>
    </xf>
    <xf numFmtId="0" fontId="6" fillId="4" borderId="2" xfId="0" applyFont="1" applyFill="1" applyBorder="1" applyAlignment="1">
      <alignment horizontal="center"/>
    </xf>
    <xf numFmtId="0" fontId="6" fillId="4" borderId="4" xfId="0" applyFont="1" applyFill="1" applyBorder="1" applyAlignment="1">
      <alignment horizontal="center"/>
    </xf>
    <xf numFmtId="0" fontId="6" fillId="4" borderId="6" xfId="0" applyFont="1" applyFill="1" applyBorder="1" applyAlignment="1">
      <alignment horizontal="center"/>
    </xf>
    <xf numFmtId="168" fontId="0" fillId="4" borderId="3" xfId="0" applyNumberFormat="1" applyFill="1" applyBorder="1" applyAlignment="1">
      <alignment horizontal="center"/>
    </xf>
    <xf numFmtId="168" fontId="0" fillId="4" borderId="5" xfId="0" applyNumberFormat="1" applyFill="1" applyBorder="1" applyAlignment="1">
      <alignment horizontal="center"/>
    </xf>
    <xf numFmtId="168" fontId="0" fillId="4" borderId="7" xfId="0" applyNumberFormat="1" applyFill="1" applyBorder="1" applyAlignment="1">
      <alignment horizontal="center"/>
    </xf>
    <xf numFmtId="0" fontId="6" fillId="4" borderId="12" xfId="0" applyFont="1" applyFill="1" applyBorder="1" applyAlignment="1">
      <alignment horizontal="center"/>
    </xf>
    <xf numFmtId="0" fontId="6" fillId="4" borderId="13" xfId="0" applyFont="1" applyFill="1" applyBorder="1" applyAlignment="1">
      <alignment horizontal="center"/>
    </xf>
    <xf numFmtId="0" fontId="0" fillId="11" borderId="26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11" borderId="25" xfId="0" applyFill="1" applyBorder="1" applyAlignment="1">
      <alignment horizontal="center"/>
    </xf>
    <xf numFmtId="0" fontId="0" fillId="11" borderId="28" xfId="0" applyFill="1" applyBorder="1" applyAlignment="1">
      <alignment horizontal="center"/>
    </xf>
    <xf numFmtId="0" fontId="0" fillId="11" borderId="4" xfId="0" applyFill="1" applyBorder="1" applyAlignment="1">
      <alignment horizontal="center" vertical="center"/>
    </xf>
    <xf numFmtId="0" fontId="0" fillId="11" borderId="23" xfId="0" applyFill="1" applyBorder="1" applyAlignment="1">
      <alignment horizontal="center" vertical="center"/>
    </xf>
    <xf numFmtId="0" fontId="0" fillId="4" borderId="13" xfId="0" applyFill="1" applyBorder="1" applyAlignment="1">
      <alignment horizontal="center"/>
    </xf>
    <xf numFmtId="0" fontId="2" fillId="0" borderId="13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2" xfId="0" quotePrefix="1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6" fillId="3" borderId="1" xfId="0" applyFont="1" applyFill="1" applyBorder="1" applyAlignment="1">
      <alignment horizontal="center"/>
    </xf>
    <xf numFmtId="0" fontId="6" fillId="4" borderId="12" xfId="0" applyFont="1" applyFill="1" applyBorder="1"/>
    <xf numFmtId="0" fontId="0" fillId="7" borderId="2" xfId="0" applyFill="1" applyBorder="1"/>
    <xf numFmtId="0" fontId="6" fillId="4" borderId="11" xfId="0" applyFont="1" applyFill="1" applyBorder="1" applyAlignment="1">
      <alignment horizontal="center" vertical="center"/>
    </xf>
    <xf numFmtId="2" fontId="0" fillId="4" borderId="11" xfId="0" applyNumberFormat="1" applyFill="1" applyBorder="1" applyAlignment="1">
      <alignment horizontal="center"/>
    </xf>
    <xf numFmtId="2" fontId="0" fillId="4" borderId="12" xfId="0" applyNumberFormat="1" applyFill="1" applyBorder="1" applyAlignment="1">
      <alignment horizontal="center"/>
    </xf>
    <xf numFmtId="0" fontId="0" fillId="4" borderId="2" xfId="0" applyFill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11" borderId="28" xfId="0" applyFill="1" applyBorder="1" applyAlignment="1">
      <alignment horizontal="center" vertical="center"/>
    </xf>
    <xf numFmtId="0" fontId="0" fillId="11" borderId="2" xfId="0" applyFill="1" applyBorder="1" applyAlignment="1">
      <alignment horizontal="center" vertical="center"/>
    </xf>
    <xf numFmtId="0" fontId="0" fillId="4" borderId="37" xfId="0" applyFill="1" applyBorder="1" applyAlignment="1">
      <alignment horizontal="center" vertical="center"/>
    </xf>
    <xf numFmtId="0" fontId="2" fillId="12" borderId="17" xfId="0" applyFont="1" applyFill="1" applyBorder="1" applyAlignment="1">
      <alignment horizontal="center"/>
    </xf>
    <xf numFmtId="0" fontId="2" fillId="12" borderId="16" xfId="0" applyFont="1" applyFill="1" applyBorder="1" applyAlignment="1">
      <alignment horizontal="center"/>
    </xf>
    <xf numFmtId="0" fontId="3" fillId="13" borderId="10" xfId="0" applyFont="1" applyFill="1" applyBorder="1" applyAlignment="1">
      <alignment horizontal="center"/>
    </xf>
    <xf numFmtId="0" fontId="3" fillId="12" borderId="16" xfId="0" applyFont="1" applyFill="1" applyBorder="1" applyAlignment="1">
      <alignment horizontal="center"/>
    </xf>
    <xf numFmtId="0" fontId="3" fillId="12" borderId="16" xfId="0" applyFont="1" applyFill="1" applyBorder="1" applyAlignment="1">
      <alignment horizontal="center" vertical="center"/>
    </xf>
    <xf numFmtId="0" fontId="3" fillId="2" borderId="1" xfId="0" applyFont="1" applyFill="1" applyBorder="1"/>
    <xf numFmtId="0" fontId="11" fillId="0" borderId="1" xfId="0" applyFont="1" applyBorder="1" applyAlignment="1">
      <alignment horizontal="center" vertical="center"/>
    </xf>
    <xf numFmtId="1" fontId="2" fillId="4" borderId="1" xfId="0" applyNumberFormat="1" applyFont="1" applyFill="1" applyBorder="1" applyAlignment="1">
      <alignment horizontal="center"/>
    </xf>
    <xf numFmtId="1" fontId="2" fillId="4" borderId="1" xfId="0" quotePrefix="1" applyNumberFormat="1" applyFont="1" applyFill="1" applyBorder="1" applyAlignment="1">
      <alignment horizontal="center"/>
    </xf>
    <xf numFmtId="0" fontId="2" fillId="4" borderId="13" xfId="0" quotePrefix="1" applyFont="1" applyFill="1" applyBorder="1" applyAlignment="1">
      <alignment horizontal="center"/>
    </xf>
    <xf numFmtId="0" fontId="2" fillId="14" borderId="2" xfId="0" applyFont="1" applyFill="1" applyBorder="1" applyAlignment="1">
      <alignment horizontal="center"/>
    </xf>
    <xf numFmtId="0" fontId="2" fillId="14" borderId="4" xfId="0" applyFont="1" applyFill="1" applyBorder="1" applyAlignment="1">
      <alignment horizontal="center"/>
    </xf>
    <xf numFmtId="0" fontId="3" fillId="0" borderId="1" xfId="0" applyFont="1" applyBorder="1" applyAlignment="1">
      <alignment horizontal="center" vertical="center" wrapText="1"/>
    </xf>
    <xf numFmtId="0" fontId="6" fillId="10" borderId="8" xfId="0" applyFont="1" applyFill="1" applyBorder="1" applyAlignment="1">
      <alignment horizontal="center"/>
    </xf>
    <xf numFmtId="0" fontId="0" fillId="4" borderId="0" xfId="0" applyFill="1" applyAlignment="1">
      <alignment horizontal="left" vertical="center" wrapText="1"/>
    </xf>
    <xf numFmtId="0" fontId="0" fillId="4" borderId="21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2" fillId="4" borderId="11" xfId="0" applyFont="1" applyFill="1" applyBorder="1" applyAlignment="1">
      <alignment horizontal="center"/>
    </xf>
    <xf numFmtId="0" fontId="2" fillId="4" borderId="14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 vertical="center"/>
    </xf>
    <xf numFmtId="0" fontId="2" fillId="4" borderId="12" xfId="0" applyFont="1" applyFill="1" applyBorder="1" applyAlignment="1">
      <alignment horizontal="center"/>
    </xf>
    <xf numFmtId="0" fontId="2" fillId="4" borderId="0" xfId="0" applyFont="1" applyFill="1" applyAlignment="1">
      <alignment horizontal="left"/>
    </xf>
    <xf numFmtId="0" fontId="0" fillId="0" borderId="4" xfId="0" applyBorder="1" applyAlignment="1">
      <alignment horizontal="center"/>
    </xf>
    <xf numFmtId="0" fontId="11" fillId="4" borderId="1" xfId="0" applyFont="1" applyFill="1" applyBorder="1" applyAlignment="1">
      <alignment horizontal="center" vertical="center"/>
    </xf>
    <xf numFmtId="0" fontId="3" fillId="4" borderId="0" xfId="0" applyFont="1" applyFill="1"/>
    <xf numFmtId="0" fontId="3" fillId="4" borderId="11" xfId="0" applyFont="1" applyFill="1" applyBorder="1"/>
    <xf numFmtId="0" fontId="3" fillId="4" borderId="15" xfId="0" applyFont="1" applyFill="1" applyBorder="1"/>
    <xf numFmtId="0" fontId="3" fillId="4" borderId="3" xfId="0" applyFont="1" applyFill="1" applyBorder="1"/>
    <xf numFmtId="0" fontId="3" fillId="4" borderId="12" xfId="0" applyFont="1" applyFill="1" applyBorder="1"/>
    <xf numFmtId="0" fontId="3" fillId="4" borderId="5" xfId="0" applyFont="1" applyFill="1" applyBorder="1"/>
    <xf numFmtId="0" fontId="11" fillId="4" borderId="1" xfId="0" quotePrefix="1" applyFont="1" applyFill="1" applyBorder="1" applyAlignment="1">
      <alignment horizontal="center"/>
    </xf>
    <xf numFmtId="0" fontId="11" fillId="4" borderId="12" xfId="0" applyFont="1" applyFill="1" applyBorder="1"/>
    <xf numFmtId="0" fontId="11" fillId="4" borderId="4" xfId="0" applyFont="1" applyFill="1" applyBorder="1" applyAlignment="1">
      <alignment horizontal="left"/>
    </xf>
    <xf numFmtId="0" fontId="11" fillId="4" borderId="6" xfId="0" applyFont="1" applyFill="1" applyBorder="1" applyAlignment="1">
      <alignment horizontal="left"/>
    </xf>
    <xf numFmtId="0" fontId="11" fillId="4" borderId="11" xfId="0" applyFont="1" applyFill="1" applyBorder="1"/>
    <xf numFmtId="0" fontId="11" fillId="4" borderId="13" xfId="0" applyFont="1" applyFill="1" applyBorder="1"/>
    <xf numFmtId="0" fontId="2" fillId="4" borderId="2" xfId="0" applyFont="1" applyFill="1" applyBorder="1" applyAlignment="1">
      <alignment horizontal="left"/>
    </xf>
    <xf numFmtId="0" fontId="2" fillId="4" borderId="4" xfId="0" applyFont="1" applyFill="1" applyBorder="1" applyAlignment="1">
      <alignment horizontal="left"/>
    </xf>
    <xf numFmtId="0" fontId="2" fillId="4" borderId="6" xfId="0" applyFont="1" applyFill="1" applyBorder="1" applyAlignment="1">
      <alignment horizontal="left"/>
    </xf>
    <xf numFmtId="0" fontId="3" fillId="2" borderId="4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 vertical="center"/>
    </xf>
    <xf numFmtId="0" fontId="2" fillId="0" borderId="4" xfId="0" applyFont="1" applyBorder="1" applyAlignment="1">
      <alignment horizontal="left"/>
    </xf>
    <xf numFmtId="0" fontId="2" fillId="0" borderId="12" xfId="0" applyFont="1" applyBorder="1"/>
    <xf numFmtId="16" fontId="0" fillId="4" borderId="12" xfId="0" quotePrefix="1" applyNumberFormat="1" applyFill="1" applyBorder="1" applyAlignment="1">
      <alignment horizontal="center"/>
    </xf>
    <xf numFmtId="168" fontId="0" fillId="4" borderId="4" xfId="0" applyNumberFormat="1" applyFill="1" applyBorder="1" applyAlignment="1">
      <alignment horizontal="center"/>
    </xf>
    <xf numFmtId="2" fontId="0" fillId="4" borderId="13" xfId="0" applyNumberFormat="1" applyFill="1" applyBorder="1" applyAlignment="1">
      <alignment horizontal="center"/>
    </xf>
    <xf numFmtId="1" fontId="0" fillId="0" borderId="1" xfId="0" applyNumberFormat="1" applyBorder="1" applyAlignment="1">
      <alignment horizontal="center"/>
    </xf>
    <xf numFmtId="1" fontId="0" fillId="4" borderId="1" xfId="0" applyNumberFormat="1" applyFill="1" applyBorder="1" applyAlignment="1">
      <alignment horizontal="center"/>
    </xf>
    <xf numFmtId="164" fontId="2" fillId="0" borderId="8" xfId="0" applyNumberFormat="1" applyFont="1" applyBorder="1" applyAlignment="1">
      <alignment horizontal="center"/>
    </xf>
    <xf numFmtId="0" fontId="2" fillId="0" borderId="0" xfId="0" applyFont="1" applyAlignment="1">
      <alignment horizontal="center" vertical="center"/>
    </xf>
    <xf numFmtId="0" fontId="11" fillId="0" borderId="0" xfId="0" applyFont="1" applyAlignment="1">
      <alignment wrapText="1"/>
    </xf>
    <xf numFmtId="0" fontId="2" fillId="4" borderId="12" xfId="0" quotePrefix="1" applyFont="1" applyFill="1" applyBorder="1" applyAlignment="1">
      <alignment horizontal="center"/>
    </xf>
    <xf numFmtId="1" fontId="2" fillId="0" borderId="1" xfId="0" applyNumberFormat="1" applyFont="1" applyBorder="1" applyAlignment="1">
      <alignment horizontal="center"/>
    </xf>
    <xf numFmtId="164" fontId="2" fillId="0" borderId="11" xfId="0" applyNumberFormat="1" applyFont="1" applyBorder="1" applyAlignment="1">
      <alignment horizontal="center"/>
    </xf>
    <xf numFmtId="0" fontId="2" fillId="0" borderId="15" xfId="0" applyFont="1" applyBorder="1"/>
    <xf numFmtId="0" fontId="0" fillId="0" borderId="1" xfId="0" applyBorder="1" applyAlignment="1">
      <alignment horizontal="center" vertical="center"/>
    </xf>
    <xf numFmtId="0" fontId="0" fillId="0" borderId="1" xfId="0" quotePrefix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168" fontId="2" fillId="0" borderId="4" xfId="0" applyNumberFormat="1" applyFont="1" applyBorder="1" applyAlignment="1">
      <alignment horizontal="center"/>
    </xf>
    <xf numFmtId="168" fontId="2" fillId="0" borderId="6" xfId="0" applyNumberFormat="1" applyFont="1" applyBorder="1" applyAlignment="1">
      <alignment horizontal="center"/>
    </xf>
    <xf numFmtId="0" fontId="2" fillId="0" borderId="13" xfId="0" applyFont="1" applyBorder="1"/>
    <xf numFmtId="0" fontId="2" fillId="0" borderId="11" xfId="0" applyFont="1" applyBorder="1"/>
    <xf numFmtId="0" fontId="0" fillId="4" borderId="12" xfId="0" quotePrefix="1" applyFill="1" applyBorder="1" applyAlignment="1">
      <alignment horizontal="center"/>
    </xf>
    <xf numFmtId="0" fontId="0" fillId="0" borderId="13" xfId="0" quotePrefix="1" applyBorder="1" applyAlignment="1">
      <alignment horizontal="center"/>
    </xf>
    <xf numFmtId="1" fontId="2" fillId="4" borderId="1" xfId="0" applyNumberFormat="1" applyFont="1" applyFill="1" applyBorder="1" applyAlignment="1">
      <alignment horizontal="center" vertical="center"/>
    </xf>
    <xf numFmtId="1" fontId="2" fillId="4" borderId="8" xfId="0" applyNumberFormat="1" applyFont="1" applyFill="1" applyBorder="1" applyAlignment="1">
      <alignment horizontal="center"/>
    </xf>
    <xf numFmtId="2" fontId="11" fillId="0" borderId="1" xfId="0" applyNumberFormat="1" applyFont="1" applyBorder="1" applyAlignment="1">
      <alignment horizontal="center"/>
    </xf>
    <xf numFmtId="0" fontId="2" fillId="4" borderId="7" xfId="0" applyFont="1" applyFill="1" applyBorder="1" applyAlignment="1">
      <alignment horizontal="center"/>
    </xf>
    <xf numFmtId="0" fontId="6" fillId="2" borderId="1" xfId="0" applyFont="1" applyFill="1" applyBorder="1" applyAlignment="1">
      <alignment horizontal="center" vertical="top"/>
    </xf>
    <xf numFmtId="168" fontId="0" fillId="0" borderId="0" xfId="0" applyNumberFormat="1"/>
    <xf numFmtId="1" fontId="0" fillId="0" borderId="1" xfId="0" quotePrefix="1" applyNumberFormat="1" applyBorder="1" applyAlignment="1">
      <alignment horizontal="center"/>
    </xf>
    <xf numFmtId="0" fontId="0" fillId="7" borderId="1" xfId="0" applyFill="1" applyBorder="1"/>
    <xf numFmtId="166" fontId="0" fillId="4" borderId="2" xfId="1" applyNumberFormat="1" applyFont="1" applyFill="1" applyBorder="1" applyAlignment="1">
      <alignment horizontal="center"/>
    </xf>
    <xf numFmtId="166" fontId="0" fillId="4" borderId="4" xfId="1" applyNumberFormat="1" applyFont="1" applyFill="1" applyBorder="1" applyAlignment="1">
      <alignment horizontal="center"/>
    </xf>
    <xf numFmtId="166" fontId="0" fillId="4" borderId="6" xfId="1" applyNumberFormat="1" applyFont="1" applyFill="1" applyBorder="1" applyAlignment="1">
      <alignment horizontal="center"/>
    </xf>
    <xf numFmtId="0" fontId="8" fillId="4" borderId="0" xfId="0" applyFont="1" applyFill="1" applyAlignment="1">
      <alignment horizontal="left"/>
    </xf>
    <xf numFmtId="0" fontId="0" fillId="0" borderId="29" xfId="0" applyBorder="1" applyAlignment="1">
      <alignment horizontal="center" vertical="center"/>
    </xf>
    <xf numFmtId="0" fontId="0" fillId="8" borderId="42" xfId="0" applyFill="1" applyBorder="1" applyAlignment="1">
      <alignment horizontal="center" vertical="center"/>
    </xf>
    <xf numFmtId="0" fontId="0" fillId="8" borderId="43" xfId="0" applyFill="1" applyBorder="1" applyAlignment="1">
      <alignment horizontal="center" vertical="center"/>
    </xf>
    <xf numFmtId="0" fontId="0" fillId="0" borderId="3" xfId="0" applyBorder="1"/>
    <xf numFmtId="0" fontId="16" fillId="11" borderId="2" xfId="0" applyFont="1" applyFill="1" applyBorder="1"/>
    <xf numFmtId="0" fontId="17" fillId="16" borderId="1" xfId="0" applyFont="1" applyFill="1" applyBorder="1"/>
    <xf numFmtId="0" fontId="0" fillId="4" borderId="1" xfId="0" applyFill="1" applyBorder="1" applyAlignment="1">
      <alignment horizontal="left" vertical="top" wrapText="1"/>
    </xf>
    <xf numFmtId="0" fontId="0" fillId="4" borderId="1" xfId="0" applyFill="1" applyBorder="1" applyAlignment="1">
      <alignment horizontal="left" vertical="top"/>
    </xf>
    <xf numFmtId="0" fontId="19" fillId="8" borderId="2" xfId="0" applyFont="1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8" borderId="1" xfId="0" applyFill="1" applyBorder="1" applyAlignment="1">
      <alignment horizontal="center" vertical="top"/>
    </xf>
    <xf numFmtId="0" fontId="2" fillId="0" borderId="1" xfId="0" applyFont="1" applyBorder="1" applyAlignment="1">
      <alignment horizontal="right"/>
    </xf>
    <xf numFmtId="0" fontId="0" fillId="4" borderId="1" xfId="0" applyFill="1" applyBorder="1" applyAlignment="1">
      <alignment horizontal="center" vertical="center"/>
    </xf>
    <xf numFmtId="0" fontId="0" fillId="8" borderId="44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4" borderId="45" xfId="0" applyFill="1" applyBorder="1" applyAlignment="1">
      <alignment horizontal="center" vertical="center"/>
    </xf>
    <xf numFmtId="0" fontId="0" fillId="4" borderId="46" xfId="0" applyFill="1" applyBorder="1" applyAlignment="1">
      <alignment horizontal="center" vertical="center"/>
    </xf>
    <xf numFmtId="0" fontId="0" fillId="4" borderId="13" xfId="0" applyFill="1" applyBorder="1" applyAlignment="1">
      <alignment vertical="center"/>
    </xf>
    <xf numFmtId="0" fontId="0" fillId="4" borderId="14" xfId="0" applyFill="1" applyBorder="1" applyAlignment="1">
      <alignment vertical="center"/>
    </xf>
    <xf numFmtId="0" fontId="0" fillId="0" borderId="43" xfId="0" applyBorder="1" applyAlignment="1">
      <alignment horizontal="center"/>
    </xf>
    <xf numFmtId="0" fontId="0" fillId="8" borderId="55" xfId="0" applyFill="1" applyBorder="1" applyAlignment="1">
      <alignment horizontal="center" vertical="center"/>
    </xf>
    <xf numFmtId="0" fontId="2" fillId="4" borderId="1" xfId="0" quotePrefix="1" applyFont="1" applyFill="1" applyBorder="1" applyAlignment="1">
      <alignment horizontal="center"/>
    </xf>
    <xf numFmtId="0" fontId="2" fillId="0" borderId="7" xfId="0" applyFont="1" applyBorder="1"/>
    <xf numFmtId="0" fontId="2" fillId="0" borderId="6" xfId="0" applyFont="1" applyBorder="1" applyAlignment="1">
      <alignment horizontal="right"/>
    </xf>
    <xf numFmtId="0" fontId="2" fillId="0" borderId="10" xfId="0" applyFont="1" applyBorder="1"/>
    <xf numFmtId="0" fontId="6" fillId="2" borderId="8" xfId="0" applyFont="1" applyFill="1" applyBorder="1" applyAlignment="1">
      <alignment horizontal="center"/>
    </xf>
    <xf numFmtId="0" fontId="6" fillId="2" borderId="9" xfId="0" applyFont="1" applyFill="1" applyBorder="1" applyAlignment="1">
      <alignment horizontal="center"/>
    </xf>
    <xf numFmtId="0" fontId="6" fillId="2" borderId="10" xfId="0" applyFont="1" applyFill="1" applyBorder="1" applyAlignment="1">
      <alignment horizontal="center"/>
    </xf>
    <xf numFmtId="0" fontId="6" fillId="7" borderId="8" xfId="0" applyFont="1" applyFill="1" applyBorder="1" applyAlignment="1">
      <alignment horizontal="center"/>
    </xf>
    <xf numFmtId="0" fontId="6" fillId="7" borderId="9" xfId="0" applyFont="1" applyFill="1" applyBorder="1" applyAlignment="1">
      <alignment horizontal="center"/>
    </xf>
    <xf numFmtId="0" fontId="6" fillId="7" borderId="10" xfId="0" applyFont="1" applyFill="1" applyBorder="1" applyAlignment="1">
      <alignment horizontal="center"/>
    </xf>
    <xf numFmtId="0" fontId="6" fillId="7" borderId="11" xfId="0" applyFont="1" applyFill="1" applyBorder="1" applyAlignment="1">
      <alignment horizontal="center"/>
    </xf>
    <xf numFmtId="0" fontId="6" fillId="7" borderId="15" xfId="0" applyFont="1" applyFill="1" applyBorder="1" applyAlignment="1">
      <alignment horizontal="center"/>
    </xf>
    <xf numFmtId="0" fontId="6" fillId="7" borderId="3" xfId="0" applyFont="1" applyFill="1" applyBorder="1" applyAlignment="1">
      <alignment horizontal="center"/>
    </xf>
    <xf numFmtId="0" fontId="0" fillId="4" borderId="2" xfId="0" applyFill="1" applyBorder="1" applyAlignment="1">
      <alignment horizontal="left" vertical="center" wrapText="1"/>
    </xf>
    <xf numFmtId="0" fontId="0" fillId="4" borderId="4" xfId="0" applyFill="1" applyBorder="1" applyAlignment="1">
      <alignment horizontal="left" vertical="center" wrapText="1"/>
    </xf>
    <xf numFmtId="0" fontId="0" fillId="4" borderId="6" xfId="0" applyFill="1" applyBorder="1" applyAlignment="1">
      <alignment horizontal="left" vertical="center" wrapText="1"/>
    </xf>
    <xf numFmtId="0" fontId="0" fillId="4" borderId="34" xfId="0" applyFill="1" applyBorder="1" applyAlignment="1">
      <alignment horizontal="center" vertical="center"/>
    </xf>
    <xf numFmtId="0" fontId="0" fillId="4" borderId="35" xfId="0" applyFill="1" applyBorder="1" applyAlignment="1">
      <alignment horizontal="center" vertical="center"/>
    </xf>
    <xf numFmtId="0" fontId="0" fillId="4" borderId="36" xfId="0" applyFill="1" applyBorder="1" applyAlignment="1">
      <alignment horizontal="center" vertical="center"/>
    </xf>
    <xf numFmtId="0" fontId="0" fillId="4" borderId="31" xfId="0" applyFill="1" applyBorder="1" applyAlignment="1">
      <alignment horizontal="center" vertical="center" wrapText="1"/>
    </xf>
    <xf numFmtId="0" fontId="0" fillId="4" borderId="32" xfId="0" applyFill="1" applyBorder="1" applyAlignment="1">
      <alignment horizontal="center" vertical="center" wrapText="1"/>
    </xf>
    <xf numFmtId="0" fontId="0" fillId="4" borderId="33" xfId="0" applyFill="1" applyBorder="1" applyAlignment="1">
      <alignment horizontal="center" vertical="center" wrapText="1"/>
    </xf>
    <xf numFmtId="0" fontId="0" fillId="4" borderId="13" xfId="0" applyFill="1" applyBorder="1" applyAlignment="1">
      <alignment horizontal="center" vertical="center"/>
    </xf>
    <xf numFmtId="0" fontId="0" fillId="4" borderId="14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6" fillId="10" borderId="8" xfId="0" applyFont="1" applyFill="1" applyBorder="1" applyAlignment="1">
      <alignment horizontal="center" vertical="center"/>
    </xf>
    <xf numFmtId="0" fontId="6" fillId="10" borderId="10" xfId="0" applyFont="1" applyFill="1" applyBorder="1" applyAlignment="1">
      <alignment horizontal="center" vertical="center"/>
    </xf>
    <xf numFmtId="0" fontId="8" fillId="4" borderId="15" xfId="0" applyFont="1" applyFill="1" applyBorder="1" applyAlignment="1">
      <alignment horizontal="left"/>
    </xf>
    <xf numFmtId="0" fontId="8" fillId="4" borderId="0" xfId="0" applyFont="1" applyFill="1" applyAlignment="1">
      <alignment horizontal="left"/>
    </xf>
    <xf numFmtId="0" fontId="18" fillId="0" borderId="0" xfId="0" applyFont="1" applyAlignment="1">
      <alignment horizontal="left"/>
    </xf>
    <xf numFmtId="0" fontId="0" fillId="4" borderId="11" xfId="0" applyFill="1" applyBorder="1" applyAlignment="1">
      <alignment horizontal="center" vertical="center"/>
    </xf>
    <xf numFmtId="0" fontId="0" fillId="4" borderId="15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6" fillId="10" borderId="9" xfId="0" applyFont="1" applyFill="1" applyBorder="1" applyAlignment="1">
      <alignment horizontal="center" vertical="center"/>
    </xf>
    <xf numFmtId="0" fontId="6" fillId="10" borderId="8" xfId="0" applyFont="1" applyFill="1" applyBorder="1" applyAlignment="1">
      <alignment horizontal="center"/>
    </xf>
    <xf numFmtId="0" fontId="6" fillId="10" borderId="10" xfId="0" applyFont="1" applyFill="1" applyBorder="1" applyAlignment="1">
      <alignment horizontal="center"/>
    </xf>
    <xf numFmtId="0" fontId="6" fillId="4" borderId="2" xfId="0" applyFont="1" applyFill="1" applyBorder="1" applyAlignment="1">
      <alignment horizontal="center" vertical="center"/>
    </xf>
    <xf numFmtId="0" fontId="6" fillId="4" borderId="4" xfId="0" applyFont="1" applyFill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/>
    </xf>
    <xf numFmtId="0" fontId="0" fillId="4" borderId="9" xfId="0" applyFill="1" applyBorder="1" applyAlignment="1">
      <alignment horizontal="center" vertical="center"/>
    </xf>
    <xf numFmtId="0" fontId="0" fillId="4" borderId="10" xfId="0" applyFill="1" applyBorder="1" applyAlignment="1">
      <alignment horizontal="center" vertical="center"/>
    </xf>
    <xf numFmtId="0" fontId="0" fillId="8" borderId="47" xfId="0" applyFill="1" applyBorder="1" applyAlignment="1">
      <alignment horizontal="center"/>
    </xf>
    <xf numFmtId="0" fontId="0" fillId="8" borderId="48" xfId="0" applyFill="1" applyBorder="1" applyAlignment="1">
      <alignment horizontal="center"/>
    </xf>
    <xf numFmtId="0" fontId="0" fillId="8" borderId="49" xfId="0" applyFill="1" applyBorder="1" applyAlignment="1">
      <alignment horizontal="center"/>
    </xf>
    <xf numFmtId="0" fontId="16" fillId="4" borderId="12" xfId="0" applyFont="1" applyFill="1" applyBorder="1" applyAlignment="1">
      <alignment horizontal="left"/>
    </xf>
    <xf numFmtId="0" fontId="16" fillId="4" borderId="0" xfId="0" applyFont="1" applyFill="1" applyAlignment="1">
      <alignment horizontal="left"/>
    </xf>
    <xf numFmtId="0" fontId="16" fillId="4" borderId="5" xfId="0" applyFont="1" applyFill="1" applyBorder="1" applyAlignment="1">
      <alignment horizontal="left"/>
    </xf>
    <xf numFmtId="0" fontId="6" fillId="10" borderId="11" xfId="0" applyFont="1" applyFill="1" applyBorder="1" applyAlignment="1">
      <alignment horizontal="center" vertical="center"/>
    </xf>
    <xf numFmtId="0" fontId="0" fillId="8" borderId="50" xfId="0" applyFill="1" applyBorder="1" applyAlignment="1">
      <alignment horizontal="center" vertical="center"/>
    </xf>
    <xf numFmtId="0" fontId="0" fillId="8" borderId="53" xfId="0" applyFill="1" applyBorder="1" applyAlignment="1">
      <alignment horizontal="center" vertical="center"/>
    </xf>
    <xf numFmtId="0" fontId="0" fillId="8" borderId="54" xfId="0" applyFill="1" applyBorder="1" applyAlignment="1">
      <alignment horizontal="center" vertical="center"/>
    </xf>
    <xf numFmtId="0" fontId="16" fillId="4" borderId="12" xfId="0" applyFont="1" applyFill="1" applyBorder="1"/>
    <xf numFmtId="0" fontId="16" fillId="4" borderId="0" xfId="0" applyFont="1" applyFill="1"/>
    <xf numFmtId="0" fontId="16" fillId="4" borderId="5" xfId="0" applyFont="1" applyFill="1" applyBorder="1"/>
    <xf numFmtId="0" fontId="0" fillId="8" borderId="0" xfId="0" applyFill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9" xfId="0" applyFont="1" applyFill="1" applyBorder="1" applyAlignment="1">
      <alignment horizontal="center"/>
    </xf>
    <xf numFmtId="0" fontId="2" fillId="4" borderId="8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left"/>
    </xf>
    <xf numFmtId="0" fontId="2" fillId="0" borderId="8" xfId="0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" xfId="0" applyFont="1" applyBorder="1" applyAlignment="1">
      <alignment horizontal="right"/>
    </xf>
    <xf numFmtId="0" fontId="2" fillId="0" borderId="1" xfId="0" applyFont="1" applyBorder="1" applyAlignment="1">
      <alignment horizontal="right" vertical="center"/>
    </xf>
    <xf numFmtId="0" fontId="2" fillId="4" borderId="11" xfId="0" applyFont="1" applyFill="1" applyBorder="1" applyAlignment="1">
      <alignment horizontal="center"/>
    </xf>
    <xf numFmtId="0" fontId="2" fillId="4" borderId="15" xfId="0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2" fillId="0" borderId="11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2" fillId="0" borderId="13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166" fontId="2" fillId="4" borderId="1" xfId="0" applyNumberFormat="1" applyFont="1" applyFill="1" applyBorder="1" applyAlignment="1">
      <alignment horizontal="center"/>
    </xf>
    <xf numFmtId="0" fontId="2" fillId="0" borderId="2" xfId="0" applyFont="1" applyBorder="1" applyAlignment="1">
      <alignment horizontal="center"/>
    </xf>
    <xf numFmtId="9" fontId="2" fillId="4" borderId="1" xfId="1" applyFont="1" applyFill="1" applyBorder="1" applyAlignment="1">
      <alignment horizontal="center"/>
    </xf>
    <xf numFmtId="0" fontId="2" fillId="4" borderId="13" xfId="0" applyFont="1" applyFill="1" applyBorder="1" applyAlignment="1">
      <alignment horizontal="center"/>
    </xf>
    <xf numFmtId="0" fontId="2" fillId="4" borderId="14" xfId="0" applyFont="1" applyFill="1" applyBorder="1" applyAlignment="1">
      <alignment horizontal="center"/>
    </xf>
    <xf numFmtId="0" fontId="2" fillId="4" borderId="7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center"/>
    </xf>
    <xf numFmtId="9" fontId="2" fillId="4" borderId="11" xfId="0" applyNumberFormat="1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 vertical="center"/>
    </xf>
    <xf numFmtId="0" fontId="2" fillId="4" borderId="8" xfId="0" applyFont="1" applyFill="1" applyBorder="1" applyAlignment="1">
      <alignment horizontal="center" vertical="center"/>
    </xf>
    <xf numFmtId="0" fontId="2" fillId="4" borderId="9" xfId="0" applyFont="1" applyFill="1" applyBorder="1" applyAlignment="1">
      <alignment horizontal="center" vertical="center"/>
    </xf>
    <xf numFmtId="0" fontId="2" fillId="4" borderId="10" xfId="0" applyFont="1" applyFill="1" applyBorder="1" applyAlignment="1">
      <alignment horizontal="center" vertical="center"/>
    </xf>
    <xf numFmtId="2" fontId="2" fillId="4" borderId="8" xfId="0" applyNumberFormat="1" applyFont="1" applyFill="1" applyBorder="1" applyAlignment="1">
      <alignment horizontal="center"/>
    </xf>
    <xf numFmtId="2" fontId="2" fillId="4" borderId="9" xfId="0" applyNumberFormat="1" applyFont="1" applyFill="1" applyBorder="1" applyAlignment="1">
      <alignment horizontal="center"/>
    </xf>
    <xf numFmtId="2" fontId="2" fillId="4" borderId="10" xfId="0" applyNumberFormat="1" applyFont="1" applyFill="1" applyBorder="1" applyAlignment="1">
      <alignment horizontal="center"/>
    </xf>
    <xf numFmtId="167" fontId="2" fillId="4" borderId="8" xfId="0" applyNumberFormat="1" applyFont="1" applyFill="1" applyBorder="1" applyAlignment="1">
      <alignment horizontal="center"/>
    </xf>
    <xf numFmtId="167" fontId="2" fillId="4" borderId="10" xfId="0" applyNumberFormat="1" applyFont="1" applyFill="1" applyBorder="1" applyAlignment="1">
      <alignment horizontal="center"/>
    </xf>
    <xf numFmtId="0" fontId="2" fillId="4" borderId="12" xfId="0" applyFont="1" applyFill="1" applyBorder="1" applyAlignment="1">
      <alignment horizontal="center"/>
    </xf>
    <xf numFmtId="0" fontId="2" fillId="4" borderId="0" xfId="0" applyFont="1" applyFill="1" applyAlignment="1">
      <alignment horizontal="center"/>
    </xf>
    <xf numFmtId="0" fontId="2" fillId="4" borderId="5" xfId="0" applyFont="1" applyFill="1" applyBorder="1" applyAlignment="1">
      <alignment horizontal="center"/>
    </xf>
    <xf numFmtId="0" fontId="1" fillId="4" borderId="8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2" fillId="4" borderId="0" xfId="0" applyFont="1" applyFill="1" applyAlignment="1">
      <alignment horizontal="left"/>
    </xf>
    <xf numFmtId="49" fontId="2" fillId="0" borderId="12" xfId="0" applyNumberFormat="1" applyFont="1" applyBorder="1" applyAlignment="1">
      <alignment horizontal="center"/>
    </xf>
    <xf numFmtId="49" fontId="2" fillId="0" borderId="5" xfId="0" applyNumberFormat="1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5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3" fillId="2" borderId="8" xfId="0" applyFont="1" applyFill="1" applyBorder="1" applyAlignment="1">
      <alignment horizontal="left"/>
    </xf>
    <xf numFmtId="0" fontId="3" fillId="2" borderId="9" xfId="0" applyFont="1" applyFill="1" applyBorder="1" applyAlignment="1">
      <alignment horizontal="left"/>
    </xf>
    <xf numFmtId="0" fontId="3" fillId="2" borderId="10" xfId="0" applyFont="1" applyFill="1" applyBorder="1" applyAlignment="1">
      <alignment horizontal="left"/>
    </xf>
    <xf numFmtId="0" fontId="2" fillId="4" borderId="4" xfId="0" applyFont="1" applyFill="1" applyBorder="1" applyAlignment="1">
      <alignment horizontal="left" wrapText="1"/>
    </xf>
    <xf numFmtId="0" fontId="2" fillId="4" borderId="4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/>
    </xf>
    <xf numFmtId="0" fontId="2" fillId="2" borderId="9" xfId="0" applyFont="1" applyFill="1" applyBorder="1" applyAlignment="1">
      <alignment horizontal="center"/>
    </xf>
    <xf numFmtId="0" fontId="2" fillId="2" borderId="10" xfId="0" applyFont="1" applyFill="1" applyBorder="1" applyAlignment="1">
      <alignment horizontal="center"/>
    </xf>
    <xf numFmtId="0" fontId="3" fillId="4" borderId="1" xfId="0" applyFont="1" applyFill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3" fillId="3" borderId="8" xfId="0" applyFont="1" applyFill="1" applyBorder="1" applyAlignment="1">
      <alignment horizontal="center"/>
    </xf>
    <xf numFmtId="0" fontId="3" fillId="3" borderId="9" xfId="0" applyFont="1" applyFill="1" applyBorder="1" applyAlignment="1">
      <alignment horizontal="center"/>
    </xf>
    <xf numFmtId="0" fontId="3" fillId="3" borderId="10" xfId="0" applyFont="1" applyFill="1" applyBorder="1" applyAlignment="1">
      <alignment horizontal="center"/>
    </xf>
    <xf numFmtId="0" fontId="3" fillId="4" borderId="8" xfId="0" applyFont="1" applyFill="1" applyBorder="1" applyAlignment="1">
      <alignment horizontal="center"/>
    </xf>
    <xf numFmtId="0" fontId="3" fillId="4" borderId="9" xfId="0" applyFont="1" applyFill="1" applyBorder="1" applyAlignment="1">
      <alignment horizontal="center"/>
    </xf>
    <xf numFmtId="0" fontId="3" fillId="4" borderId="10" xfId="0" applyFont="1" applyFill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2" borderId="11" xfId="0" applyFont="1" applyFill="1" applyBorder="1" applyAlignment="1">
      <alignment horizontal="center" vertical="center" wrapText="1"/>
    </xf>
    <xf numFmtId="0" fontId="3" fillId="2" borderId="15" xfId="0" applyFont="1" applyFill="1" applyBorder="1" applyAlignment="1">
      <alignment horizontal="center" vertical="center" wrapText="1"/>
    </xf>
    <xf numFmtId="0" fontId="3" fillId="2" borderId="3" xfId="0" applyFont="1" applyFill="1" applyBorder="1" applyAlignment="1">
      <alignment horizontal="center" vertical="center" wrapText="1"/>
    </xf>
    <xf numFmtId="0" fontId="3" fillId="2" borderId="13" xfId="0" applyFont="1" applyFill="1" applyBorder="1" applyAlignment="1">
      <alignment horizontal="center" vertical="center" wrapText="1"/>
    </xf>
    <xf numFmtId="0" fontId="3" fillId="2" borderId="14" xfId="0" applyFont="1" applyFill="1" applyBorder="1" applyAlignment="1">
      <alignment horizontal="center" vertical="center" wrapText="1"/>
    </xf>
    <xf numFmtId="0" fontId="3" fillId="2" borderId="7" xfId="0" applyFont="1" applyFill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49" fontId="2" fillId="0" borderId="0" xfId="0" applyNumberFormat="1" applyFont="1" applyAlignment="1">
      <alignment horizontal="center"/>
    </xf>
    <xf numFmtId="0" fontId="2" fillId="0" borderId="13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3" fillId="2" borderId="1" xfId="0" applyFont="1" applyFill="1" applyBorder="1" applyAlignment="1">
      <alignment horizontal="center" wrapText="1"/>
    </xf>
    <xf numFmtId="0" fontId="3" fillId="2" borderId="1" xfId="0" applyFont="1" applyFill="1" applyBorder="1" applyAlignment="1">
      <alignment horizontal="center" vertical="center"/>
    </xf>
    <xf numFmtId="49" fontId="2" fillId="0" borderId="13" xfId="0" applyNumberFormat="1" applyFont="1" applyBorder="1" applyAlignment="1">
      <alignment horizontal="center"/>
    </xf>
    <xf numFmtId="49" fontId="2" fillId="0" borderId="14" xfId="0" applyNumberFormat="1" applyFont="1" applyBorder="1" applyAlignment="1">
      <alignment horizontal="center"/>
    </xf>
    <xf numFmtId="0" fontId="2" fillId="0" borderId="12" xfId="0" applyFont="1" applyBorder="1" applyAlignment="1">
      <alignment horizontal="left" vertical="top" wrapText="1"/>
    </xf>
    <xf numFmtId="0" fontId="2" fillId="0" borderId="5" xfId="0" applyFont="1" applyBorder="1" applyAlignment="1">
      <alignment horizontal="left" vertical="top" wrapText="1"/>
    </xf>
    <xf numFmtId="0" fontId="2" fillId="0" borderId="13" xfId="0" applyFont="1" applyBorder="1" applyAlignment="1">
      <alignment horizontal="left" vertical="top" wrapText="1"/>
    </xf>
    <xf numFmtId="0" fontId="2" fillId="0" borderId="7" xfId="0" applyFont="1" applyBorder="1" applyAlignment="1">
      <alignment horizontal="left" vertical="top" wrapText="1"/>
    </xf>
    <xf numFmtId="0" fontId="3" fillId="0" borderId="8" xfId="0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3" fillId="2" borderId="11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left"/>
    </xf>
    <xf numFmtId="0" fontId="1" fillId="4" borderId="12" xfId="0" applyFont="1" applyFill="1" applyBorder="1" applyAlignment="1">
      <alignment horizontal="center" wrapText="1"/>
    </xf>
    <xf numFmtId="0" fontId="1" fillId="4" borderId="5" xfId="0" applyFont="1" applyFill="1" applyBorder="1" applyAlignment="1">
      <alignment horizontal="center" wrapText="1"/>
    </xf>
    <xf numFmtId="0" fontId="11" fillId="0" borderId="1" xfId="0" applyFont="1" applyBorder="1" applyAlignment="1">
      <alignment horizontal="left"/>
    </xf>
    <xf numFmtId="0" fontId="2" fillId="0" borderId="12" xfId="0" quotePrefix="1" applyFont="1" applyBorder="1" applyAlignment="1">
      <alignment horizontal="center"/>
    </xf>
    <xf numFmtId="2" fontId="2" fillId="0" borderId="12" xfId="0" applyNumberFormat="1" applyFont="1" applyBorder="1" applyAlignment="1">
      <alignment horizontal="center"/>
    </xf>
    <xf numFmtId="2" fontId="2" fillId="0" borderId="5" xfId="0" applyNumberFormat="1" applyFont="1" applyBorder="1" applyAlignment="1">
      <alignment horizontal="center"/>
    </xf>
    <xf numFmtId="0" fontId="3" fillId="0" borderId="11" xfId="0" applyFont="1" applyBorder="1" applyAlignment="1">
      <alignment horizontal="left" wrapText="1"/>
    </xf>
    <xf numFmtId="0" fontId="3" fillId="0" borderId="15" xfId="0" applyFont="1" applyBorder="1" applyAlignment="1">
      <alignment horizontal="left" wrapText="1"/>
    </xf>
    <xf numFmtId="0" fontId="3" fillId="0" borderId="3" xfId="0" applyFont="1" applyBorder="1" applyAlignment="1">
      <alignment horizontal="left" wrapText="1"/>
    </xf>
    <xf numFmtId="0" fontId="3" fillId="0" borderId="13" xfId="0" applyFont="1" applyBorder="1" applyAlignment="1">
      <alignment horizontal="left" wrapText="1"/>
    </xf>
    <xf numFmtId="0" fontId="3" fillId="0" borderId="14" xfId="0" applyFont="1" applyBorder="1" applyAlignment="1">
      <alignment horizontal="left" wrapText="1"/>
    </xf>
    <xf numFmtId="0" fontId="3" fillId="0" borderId="7" xfId="0" applyFont="1" applyBorder="1" applyAlignment="1">
      <alignment horizontal="left" wrapText="1"/>
    </xf>
    <xf numFmtId="2" fontId="2" fillId="0" borderId="13" xfId="0" applyNumberFormat="1" applyFont="1" applyBorder="1" applyAlignment="1">
      <alignment horizontal="center"/>
    </xf>
    <xf numFmtId="2" fontId="2" fillId="0" borderId="7" xfId="0" applyNumberFormat="1" applyFont="1" applyBorder="1" applyAlignment="1">
      <alignment horizontal="center"/>
    </xf>
    <xf numFmtId="0" fontId="3" fillId="2" borderId="6" xfId="0" applyFont="1" applyFill="1" applyBorder="1" applyAlignment="1">
      <alignment horizontal="center" wrapText="1"/>
    </xf>
    <xf numFmtId="0" fontId="2" fillId="14" borderId="11" xfId="0" applyFont="1" applyFill="1" applyBorder="1" applyAlignment="1">
      <alignment horizontal="center"/>
    </xf>
    <xf numFmtId="0" fontId="2" fillId="14" borderId="3" xfId="0" applyFont="1" applyFill="1" applyBorder="1" applyAlignment="1">
      <alignment horizontal="center"/>
    </xf>
    <xf numFmtId="0" fontId="12" fillId="5" borderId="2" xfId="0" applyFont="1" applyFill="1" applyBorder="1" applyAlignment="1">
      <alignment horizontal="center" wrapText="1"/>
    </xf>
    <xf numFmtId="0" fontId="12" fillId="5" borderId="6" xfId="0" applyFont="1" applyFill="1" applyBorder="1" applyAlignment="1">
      <alignment horizontal="center" wrapText="1"/>
    </xf>
    <xf numFmtId="0" fontId="3" fillId="4" borderId="12" xfId="0" applyFont="1" applyFill="1" applyBorder="1" applyAlignment="1">
      <alignment horizontal="center" vertical="center" wrapText="1"/>
    </xf>
    <xf numFmtId="0" fontId="3" fillId="4" borderId="5" xfId="0" applyFont="1" applyFill="1" applyBorder="1" applyAlignment="1">
      <alignment horizontal="center" vertical="center" wrapText="1"/>
    </xf>
    <xf numFmtId="0" fontId="2" fillId="14" borderId="12" xfId="0" applyFont="1" applyFill="1" applyBorder="1" applyAlignment="1">
      <alignment horizontal="center"/>
    </xf>
    <xf numFmtId="0" fontId="2" fillId="14" borderId="5" xfId="0" applyFont="1" applyFill="1" applyBorder="1" applyAlignment="1">
      <alignment horizontal="center"/>
    </xf>
    <xf numFmtId="2" fontId="2" fillId="0" borderId="11" xfId="0" applyNumberFormat="1" applyFont="1" applyBorder="1" applyAlignment="1">
      <alignment horizontal="center"/>
    </xf>
    <xf numFmtId="2" fontId="2" fillId="0" borderId="3" xfId="0" applyNumberFormat="1" applyFont="1" applyBorder="1" applyAlignment="1">
      <alignment horizontal="center"/>
    </xf>
    <xf numFmtId="0" fontId="3" fillId="2" borderId="11" xfId="0" applyFont="1" applyFill="1" applyBorder="1" applyAlignment="1">
      <alignment horizontal="left"/>
    </xf>
    <xf numFmtId="0" fontId="3" fillId="2" borderId="15" xfId="0" applyFont="1" applyFill="1" applyBorder="1" applyAlignment="1">
      <alignment horizontal="left"/>
    </xf>
    <xf numFmtId="0" fontId="3" fillId="2" borderId="3" xfId="0" applyFont="1" applyFill="1" applyBorder="1" applyAlignment="1">
      <alignment horizontal="left"/>
    </xf>
    <xf numFmtId="0" fontId="2" fillId="16" borderId="11" xfId="0" applyFont="1" applyFill="1" applyBorder="1" applyAlignment="1">
      <alignment horizontal="center" wrapText="1"/>
    </xf>
    <xf numFmtId="0" fontId="2" fillId="16" borderId="3" xfId="0" applyFont="1" applyFill="1" applyBorder="1" applyAlignment="1">
      <alignment horizontal="center" wrapText="1"/>
    </xf>
    <xf numFmtId="0" fontId="2" fillId="16" borderId="13" xfId="0" applyFont="1" applyFill="1" applyBorder="1" applyAlignment="1">
      <alignment horizontal="center" wrapText="1"/>
    </xf>
    <xf numFmtId="0" fontId="2" fillId="16" borderId="7" xfId="0" applyFont="1" applyFill="1" applyBorder="1" applyAlignment="1">
      <alignment horizontal="center" wrapText="1"/>
    </xf>
    <xf numFmtId="0" fontId="3" fillId="3" borderId="13" xfId="0" applyFont="1" applyFill="1" applyBorder="1" applyAlignment="1">
      <alignment horizontal="center"/>
    </xf>
    <xf numFmtId="0" fontId="3" fillId="3" borderId="14" xfId="0" applyFont="1" applyFill="1" applyBorder="1" applyAlignment="1">
      <alignment horizontal="center"/>
    </xf>
    <xf numFmtId="0" fontId="3" fillId="3" borderId="7" xfId="0" applyFont="1" applyFill="1" applyBorder="1" applyAlignment="1">
      <alignment horizontal="center"/>
    </xf>
    <xf numFmtId="0" fontId="3" fillId="3" borderId="11" xfId="0" applyFont="1" applyFill="1" applyBorder="1" applyAlignment="1">
      <alignment horizontal="center"/>
    </xf>
    <xf numFmtId="0" fontId="3" fillId="3" borderId="15" xfId="0" applyFont="1" applyFill="1" applyBorder="1" applyAlignment="1">
      <alignment horizontal="center"/>
    </xf>
    <xf numFmtId="0" fontId="3" fillId="3" borderId="3" xfId="0" applyFont="1" applyFill="1" applyBorder="1" applyAlignment="1">
      <alignment horizontal="center"/>
    </xf>
    <xf numFmtId="0" fontId="10" fillId="6" borderId="18" xfId="0" applyFont="1" applyFill="1" applyBorder="1" applyAlignment="1">
      <alignment horizontal="center"/>
    </xf>
    <xf numFmtId="0" fontId="10" fillId="6" borderId="19" xfId="0" applyFont="1" applyFill="1" applyBorder="1" applyAlignment="1">
      <alignment horizontal="center"/>
    </xf>
    <xf numFmtId="0" fontId="10" fillId="6" borderId="20" xfId="0" applyFont="1" applyFill="1" applyBorder="1" applyAlignment="1">
      <alignment horizontal="center"/>
    </xf>
    <xf numFmtId="0" fontId="2" fillId="0" borderId="2" xfId="0" applyFont="1" applyBorder="1" applyAlignment="1">
      <alignment horizontal="center" wrapText="1"/>
    </xf>
    <xf numFmtId="0" fontId="2" fillId="0" borderId="6" xfId="0" applyFont="1" applyBorder="1" applyAlignment="1">
      <alignment horizontal="center" wrapText="1"/>
    </xf>
    <xf numFmtId="0" fontId="2" fillId="2" borderId="1" xfId="0" applyFont="1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3" fillId="0" borderId="2" xfId="0" applyFont="1" applyBorder="1" applyAlignment="1">
      <alignment horizontal="center" wrapText="1"/>
    </xf>
    <xf numFmtId="0" fontId="3" fillId="0" borderId="6" xfId="0" applyFont="1" applyBorder="1" applyAlignment="1">
      <alignment horizontal="center" wrapText="1"/>
    </xf>
    <xf numFmtId="0" fontId="3" fillId="0" borderId="8" xfId="0" applyFont="1" applyBorder="1" applyAlignment="1">
      <alignment horizontal="center" wrapText="1"/>
    </xf>
    <xf numFmtId="0" fontId="3" fillId="0" borderId="9" xfId="0" applyFont="1" applyBorder="1" applyAlignment="1">
      <alignment horizontal="center" wrapText="1"/>
    </xf>
    <xf numFmtId="0" fontId="3" fillId="0" borderId="10" xfId="0" applyFont="1" applyBorder="1" applyAlignment="1">
      <alignment horizontal="center" wrapText="1"/>
    </xf>
    <xf numFmtId="0" fontId="6" fillId="0" borderId="8" xfId="0" applyFont="1" applyBorder="1" applyAlignment="1">
      <alignment horizontal="center"/>
    </xf>
    <xf numFmtId="0" fontId="6" fillId="0" borderId="10" xfId="0" applyFont="1" applyBorder="1" applyAlignment="1">
      <alignment horizontal="center"/>
    </xf>
    <xf numFmtId="10" fontId="6" fillId="0" borderId="2" xfId="0" applyNumberFormat="1" applyFont="1" applyBorder="1" applyAlignment="1">
      <alignment horizontal="center" vertical="center"/>
    </xf>
    <xf numFmtId="10" fontId="6" fillId="0" borderId="4" xfId="0" applyNumberFormat="1" applyFont="1" applyBorder="1" applyAlignment="1">
      <alignment horizontal="center" vertical="center"/>
    </xf>
    <xf numFmtId="10" fontId="6" fillId="0" borderId="6" xfId="0" applyNumberFormat="1" applyFont="1" applyBorder="1" applyAlignment="1">
      <alignment horizontal="center" vertical="center"/>
    </xf>
    <xf numFmtId="0" fontId="6" fillId="11" borderId="1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 wrapText="1"/>
    </xf>
    <xf numFmtId="0" fontId="3" fillId="2" borderId="9" xfId="0" applyFont="1" applyFill="1" applyBorder="1" applyAlignment="1">
      <alignment horizontal="center" wrapText="1"/>
    </xf>
    <xf numFmtId="0" fontId="3" fillId="2" borderId="10" xfId="0" applyFont="1" applyFill="1" applyBorder="1" applyAlignment="1">
      <alignment horizontal="center" wrapText="1"/>
    </xf>
    <xf numFmtId="0" fontId="6" fillId="2" borderId="1" xfId="0" applyFont="1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0" xfId="0" applyBorder="1" applyAlignment="1">
      <alignment horizontal="center"/>
    </xf>
    <xf numFmtId="0" fontId="6" fillId="0" borderId="2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6" fillId="2" borderId="11" xfId="0" applyFont="1" applyFill="1" applyBorder="1" applyAlignment="1">
      <alignment horizontal="center"/>
    </xf>
    <xf numFmtId="0" fontId="6" fillId="2" borderId="3" xfId="0" applyFont="1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8" borderId="38" xfId="0" applyFill="1" applyBorder="1" applyAlignment="1">
      <alignment horizontal="center" vertical="center"/>
    </xf>
    <xf numFmtId="0" fontId="0" fillId="4" borderId="39" xfId="0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8" borderId="56" xfId="0" applyFill="1" applyBorder="1" applyAlignment="1">
      <alignment horizontal="center" vertical="center"/>
    </xf>
    <xf numFmtId="0" fontId="0" fillId="8" borderId="51" xfId="0" applyFill="1" applyBorder="1" applyAlignment="1">
      <alignment horizontal="center" vertical="center"/>
    </xf>
    <xf numFmtId="0" fontId="0" fillId="8" borderId="52" xfId="0" applyFill="1" applyBorder="1" applyAlignment="1">
      <alignment horizontal="center" vertical="center"/>
    </xf>
    <xf numFmtId="9" fontId="2" fillId="4" borderId="1" xfId="0" applyNumberFormat="1" applyFont="1" applyFill="1" applyBorder="1" applyAlignment="1">
      <alignment horizontal="center"/>
    </xf>
    <xf numFmtId="0" fontId="11" fillId="0" borderId="8" xfId="0" applyFont="1" applyBorder="1" applyAlignment="1">
      <alignment horizontal="center"/>
    </xf>
    <xf numFmtId="0" fontId="11" fillId="0" borderId="9" xfId="0" applyFont="1" applyBorder="1" applyAlignment="1">
      <alignment horizontal="center"/>
    </xf>
    <xf numFmtId="0" fontId="11" fillId="0" borderId="10" xfId="0" applyFont="1" applyBorder="1" applyAlignment="1">
      <alignment horizontal="center"/>
    </xf>
    <xf numFmtId="2" fontId="2" fillId="0" borderId="8" xfId="0" applyNumberFormat="1" applyFont="1" applyBorder="1" applyAlignment="1">
      <alignment horizontal="center"/>
    </xf>
    <xf numFmtId="2" fontId="2" fillId="0" borderId="10" xfId="0" applyNumberFormat="1" applyFont="1" applyBorder="1" applyAlignment="1">
      <alignment horizontal="center"/>
    </xf>
    <xf numFmtId="167" fontId="2" fillId="0" borderId="8" xfId="0" applyNumberFormat="1" applyFont="1" applyBorder="1" applyAlignment="1">
      <alignment horizontal="center"/>
    </xf>
    <xf numFmtId="167" fontId="2" fillId="0" borderId="10" xfId="0" applyNumberFormat="1" applyFont="1" applyBorder="1" applyAlignment="1">
      <alignment horizontal="center"/>
    </xf>
    <xf numFmtId="2" fontId="2" fillId="0" borderId="9" xfId="0" applyNumberFormat="1" applyFont="1" applyBorder="1" applyAlignment="1">
      <alignment horizontal="center"/>
    </xf>
    <xf numFmtId="0" fontId="11" fillId="0" borderId="8" xfId="0" applyFont="1" applyBorder="1" applyAlignment="1">
      <alignment horizontal="center" vertical="center"/>
    </xf>
    <xf numFmtId="0" fontId="11" fillId="0" borderId="9" xfId="0" applyFont="1" applyBorder="1" applyAlignment="1">
      <alignment horizontal="center" vertical="center"/>
    </xf>
    <xf numFmtId="0" fontId="11" fillId="0" borderId="10" xfId="0" applyFont="1" applyBorder="1" applyAlignment="1">
      <alignment horizontal="center" vertical="center"/>
    </xf>
    <xf numFmtId="0" fontId="11" fillId="4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1" fontId="2" fillId="0" borderId="2" xfId="0" applyNumberFormat="1" applyFont="1" applyBorder="1" applyAlignment="1">
      <alignment horizontal="center" vertical="center"/>
    </xf>
    <xf numFmtId="1" fontId="2" fillId="0" borderId="4" xfId="0" applyNumberFormat="1" applyFont="1" applyBorder="1" applyAlignment="1">
      <alignment horizontal="center" vertical="center"/>
    </xf>
    <xf numFmtId="1" fontId="2" fillId="0" borderId="6" xfId="0" applyNumberFormat="1" applyFont="1" applyBorder="1" applyAlignment="1">
      <alignment horizontal="center" vertical="center"/>
    </xf>
    <xf numFmtId="1" fontId="2" fillId="4" borderId="2" xfId="0" applyNumberFormat="1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/>
    </xf>
    <xf numFmtId="164" fontId="2" fillId="0" borderId="2" xfId="0" applyNumberFormat="1" applyFont="1" applyBorder="1" applyAlignment="1">
      <alignment horizontal="center" vertical="center"/>
    </xf>
    <xf numFmtId="164" fontId="2" fillId="0" borderId="4" xfId="0" applyNumberFormat="1" applyFont="1" applyBorder="1" applyAlignment="1">
      <alignment horizontal="center" vertical="center"/>
    </xf>
    <xf numFmtId="164" fontId="2" fillId="0" borderId="6" xfId="0" applyNumberFormat="1" applyFont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0" fontId="14" fillId="6" borderId="8" xfId="0" applyFont="1" applyFill="1" applyBorder="1" applyAlignment="1">
      <alignment horizontal="center"/>
    </xf>
    <xf numFmtId="0" fontId="14" fillId="6" borderId="9" xfId="0" applyFont="1" applyFill="1" applyBorder="1" applyAlignment="1">
      <alignment horizontal="center"/>
    </xf>
    <xf numFmtId="0" fontId="14" fillId="6" borderId="10" xfId="0" applyFont="1" applyFill="1" applyBorder="1" applyAlignment="1">
      <alignment horizontal="center"/>
    </xf>
    <xf numFmtId="1" fontId="0" fillId="0" borderId="2" xfId="0" applyNumberForma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1" fontId="0" fillId="0" borderId="4" xfId="0" applyNumberFormat="1" applyBorder="1" applyAlignment="1">
      <alignment horizontal="center" vertical="center"/>
    </xf>
    <xf numFmtId="1" fontId="0" fillId="0" borderId="6" xfId="0" applyNumberFormat="1" applyBorder="1" applyAlignment="1">
      <alignment horizontal="center" vertical="center"/>
    </xf>
    <xf numFmtId="1" fontId="0" fillId="0" borderId="2" xfId="0" quotePrefix="1" applyNumberFormat="1" applyBorder="1" applyAlignment="1">
      <alignment horizontal="center" vertical="center"/>
    </xf>
    <xf numFmtId="0" fontId="0" fillId="0" borderId="4" xfId="0" quotePrefix="1" applyBorder="1" applyAlignment="1">
      <alignment horizontal="center" vertical="center"/>
    </xf>
    <xf numFmtId="0" fontId="0" fillId="0" borderId="6" xfId="0" quotePrefix="1" applyBorder="1" applyAlignment="1">
      <alignment horizontal="center" vertical="center"/>
    </xf>
    <xf numFmtId="0" fontId="0" fillId="8" borderId="12" xfId="0" applyFill="1" applyBorder="1" applyAlignment="1">
      <alignment horizontal="center" vertical="center"/>
    </xf>
    <xf numFmtId="0" fontId="0" fillId="8" borderId="15" xfId="0" applyFill="1" applyBorder="1" applyAlignment="1">
      <alignment horizontal="center" vertical="center"/>
    </xf>
    <xf numFmtId="0" fontId="0" fillId="8" borderId="3" xfId="0" applyFill="1" applyBorder="1" applyAlignment="1">
      <alignment horizontal="center" vertical="center"/>
    </xf>
    <xf numFmtId="0" fontId="6" fillId="4" borderId="1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0" fillId="8" borderId="40" xfId="0" applyFill="1" applyBorder="1" applyAlignment="1">
      <alignment horizontal="center" vertical="center"/>
    </xf>
    <xf numFmtId="0" fontId="0" fillId="0" borderId="12" xfId="0" applyBorder="1" applyAlignment="1">
      <alignment horizontal="center"/>
    </xf>
    <xf numFmtId="0" fontId="0" fillId="4" borderId="41" xfId="0" applyFill="1" applyBorder="1" applyAlignment="1">
      <alignment horizontal="center"/>
    </xf>
    <xf numFmtId="0" fontId="2" fillId="4" borderId="0" xfId="0" applyFont="1" applyFill="1"/>
    <xf numFmtId="0" fontId="2" fillId="4" borderId="5" xfId="0" applyFont="1" applyFill="1" applyBorder="1"/>
    <xf numFmtId="0" fontId="11" fillId="4" borderId="8" xfId="0" applyFont="1" applyFill="1" applyBorder="1" applyAlignment="1">
      <alignment horizontal="center"/>
    </xf>
    <xf numFmtId="0" fontId="11" fillId="4" borderId="9" xfId="0" applyFont="1" applyFill="1" applyBorder="1" applyAlignment="1">
      <alignment horizontal="center"/>
    </xf>
    <xf numFmtId="0" fontId="11" fillId="4" borderId="10" xfId="0" applyFont="1" applyFill="1" applyBorder="1" applyAlignment="1">
      <alignment horizontal="center"/>
    </xf>
    <xf numFmtId="9" fontId="2" fillId="4" borderId="8" xfId="0" applyNumberFormat="1" applyFont="1" applyFill="1" applyBorder="1" applyAlignment="1">
      <alignment horizontal="center"/>
    </xf>
    <xf numFmtId="9" fontId="2" fillId="4" borderId="9" xfId="0" applyNumberFormat="1" applyFont="1" applyFill="1" applyBorder="1" applyAlignment="1">
      <alignment horizontal="center"/>
    </xf>
    <xf numFmtId="9" fontId="2" fillId="4" borderId="10" xfId="0" applyNumberFormat="1" applyFont="1" applyFill="1" applyBorder="1" applyAlignment="1">
      <alignment horizontal="center"/>
    </xf>
    <xf numFmtId="0" fontId="2" fillId="4" borderId="8" xfId="0" applyFont="1" applyFill="1" applyBorder="1" applyAlignment="1">
      <alignment horizontal="left"/>
    </xf>
    <xf numFmtId="0" fontId="2" fillId="4" borderId="9" xfId="0" applyFont="1" applyFill="1" applyBorder="1" applyAlignment="1">
      <alignment horizontal="left"/>
    </xf>
    <xf numFmtId="0" fontId="2" fillId="4" borderId="10" xfId="0" applyFont="1" applyFill="1" applyBorder="1" applyAlignment="1">
      <alignment horizontal="left"/>
    </xf>
    <xf numFmtId="166" fontId="2" fillId="4" borderId="8" xfId="0" applyNumberFormat="1" applyFont="1" applyFill="1" applyBorder="1" applyAlignment="1">
      <alignment horizontal="center"/>
    </xf>
    <xf numFmtId="166" fontId="2" fillId="4" borderId="9" xfId="0" applyNumberFormat="1" applyFont="1" applyFill="1" applyBorder="1" applyAlignment="1">
      <alignment horizontal="center"/>
    </xf>
    <xf numFmtId="166" fontId="2" fillId="4" borderId="10" xfId="0" applyNumberFormat="1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2" fillId="4" borderId="13" xfId="0" applyFont="1" applyFill="1" applyBorder="1" applyAlignment="1">
      <alignment horizontal="center" vertical="center"/>
    </xf>
    <xf numFmtId="0" fontId="2" fillId="4" borderId="7" xfId="0" applyFont="1" applyFill="1" applyBorder="1" applyAlignment="1">
      <alignment horizontal="center" vertical="center"/>
    </xf>
    <xf numFmtId="0" fontId="2" fillId="4" borderId="15" xfId="0" applyFont="1" applyFill="1" applyBorder="1" applyAlignment="1">
      <alignment horizontal="center" vertical="center"/>
    </xf>
    <xf numFmtId="0" fontId="2" fillId="4" borderId="14" xfId="0" applyFont="1" applyFill="1" applyBorder="1" applyAlignment="1">
      <alignment horizontal="center" vertical="center"/>
    </xf>
    <xf numFmtId="0" fontId="2" fillId="4" borderId="11" xfId="0" applyFont="1" applyFill="1" applyBorder="1" applyAlignment="1">
      <alignment horizontal="center" vertical="center" wrapText="1"/>
    </xf>
    <xf numFmtId="0" fontId="2" fillId="4" borderId="3" xfId="0" applyFont="1" applyFill="1" applyBorder="1" applyAlignment="1">
      <alignment horizontal="center" vertical="center" wrapText="1"/>
    </xf>
    <xf numFmtId="0" fontId="2" fillId="4" borderId="13" xfId="0" applyFont="1" applyFill="1" applyBorder="1" applyAlignment="1">
      <alignment horizontal="center" vertical="center" wrapText="1"/>
    </xf>
    <xf numFmtId="0" fontId="2" fillId="4" borderId="7" xfId="0" applyFont="1" applyFill="1" applyBorder="1" applyAlignment="1">
      <alignment horizontal="center" vertical="center" wrapText="1"/>
    </xf>
    <xf numFmtId="0" fontId="11" fillId="4" borderId="8" xfId="0" applyFont="1" applyFill="1" applyBorder="1" applyAlignment="1">
      <alignment horizontal="center" vertical="center"/>
    </xf>
    <xf numFmtId="0" fontId="11" fillId="4" borderId="9" xfId="0" applyFont="1" applyFill="1" applyBorder="1" applyAlignment="1">
      <alignment horizontal="center" vertical="center"/>
    </xf>
    <xf numFmtId="0" fontId="11" fillId="4" borderId="10" xfId="0" applyFont="1" applyFill="1" applyBorder="1" applyAlignment="1">
      <alignment horizontal="center" vertical="center"/>
    </xf>
    <xf numFmtId="0" fontId="2" fillId="4" borderId="8" xfId="0" quotePrefix="1" applyFont="1" applyFill="1" applyBorder="1" applyAlignment="1">
      <alignment horizontal="center"/>
    </xf>
    <xf numFmtId="0" fontId="2" fillId="4" borderId="10" xfId="0" quotePrefix="1" applyFont="1" applyFill="1" applyBorder="1" applyAlignment="1">
      <alignment horizontal="center"/>
    </xf>
    <xf numFmtId="0" fontId="2" fillId="0" borderId="8" xfId="0" quotePrefix="1" applyFont="1" applyBorder="1" applyAlignment="1">
      <alignment horizontal="center"/>
    </xf>
    <xf numFmtId="0" fontId="2" fillId="0" borderId="10" xfId="0" quotePrefix="1" applyFont="1" applyBorder="1" applyAlignment="1">
      <alignment horizontal="center"/>
    </xf>
    <xf numFmtId="0" fontId="15" fillId="15" borderId="8" xfId="0" applyFont="1" applyFill="1" applyBorder="1" applyAlignment="1">
      <alignment horizontal="center"/>
    </xf>
    <xf numFmtId="0" fontId="15" fillId="15" borderId="9" xfId="0" applyFont="1" applyFill="1" applyBorder="1" applyAlignment="1">
      <alignment horizontal="center"/>
    </xf>
    <xf numFmtId="0" fontId="15" fillId="15" borderId="10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left"/>
    </xf>
    <xf numFmtId="0" fontId="0" fillId="0" borderId="2" xfId="0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75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color theme="0"/>
      </font>
    </dxf>
    <dxf>
      <font>
        <color theme="0"/>
      </font>
    </dxf>
    <dxf>
      <font>
        <color rgb="FF00B050"/>
      </font>
      <fill>
        <patternFill>
          <bgColor rgb="FFCCFFCC"/>
        </patternFill>
      </fill>
    </dxf>
    <dxf>
      <font>
        <color rgb="FF00B050"/>
      </font>
      <fill>
        <patternFill>
          <bgColor rgb="FFCCFFCC"/>
        </patternFill>
      </fill>
    </dxf>
    <dxf>
      <font>
        <color theme="0"/>
      </font>
      <fill>
        <patternFill patternType="solid">
          <bgColor rgb="FFFF3F3F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/>
        <color rgb="FFFF0000"/>
      </font>
    </dxf>
    <dxf>
      <font>
        <strike/>
        <color rgb="FFFF0000"/>
      </font>
    </dxf>
    <dxf>
      <font>
        <color theme="0"/>
      </font>
    </dxf>
    <dxf>
      <font>
        <color theme="0"/>
      </font>
    </dxf>
    <dxf>
      <font>
        <color rgb="FF00B050"/>
      </font>
      <fill>
        <patternFill>
          <bgColor rgb="FFCCFFCC"/>
        </patternFill>
      </fill>
    </dxf>
    <dxf>
      <font>
        <color rgb="FF00B050"/>
      </font>
      <fill>
        <patternFill>
          <bgColor rgb="FFCCFFCC"/>
        </patternFill>
      </fill>
    </dxf>
    <dxf>
      <font>
        <color theme="0"/>
      </font>
      <fill>
        <patternFill patternType="solid">
          <bgColor rgb="FFFF3F3F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</dxf>
    <dxf>
      <font>
        <color rgb="FFFF0000"/>
      </font>
    </dxf>
    <dxf>
      <font>
        <strike/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  <border>
        <left/>
        <right/>
        <top style="thin">
          <color auto="1"/>
        </top>
        <bottom/>
        <vertical/>
        <horizontal/>
      </border>
    </dxf>
    <dxf>
      <font>
        <color theme="0"/>
      </font>
      <border>
        <left/>
        <right/>
        <top/>
        <bottom/>
        <vertical/>
        <horizontal/>
      </border>
    </dxf>
    <dxf>
      <font>
        <color theme="0"/>
      </font>
      <border>
        <left/>
        <right/>
        <top style="thin">
          <color auto="1"/>
        </top>
        <bottom/>
        <vertical/>
        <horizontal/>
      </border>
    </dxf>
    <dxf>
      <font>
        <color theme="0"/>
      </font>
      <border>
        <left/>
        <right/>
        <top style="thin">
          <color auto="1"/>
        </top>
        <bottom/>
        <vertical/>
        <horizontal/>
      </border>
    </dxf>
    <dxf>
      <font>
        <color theme="0"/>
      </font>
      <border>
        <left/>
        <right/>
        <top/>
        <bottom/>
        <vertical/>
        <horizontal/>
      </border>
    </dxf>
    <dxf>
      <font>
        <color theme="0"/>
      </font>
      <border>
        <left/>
        <right/>
        <top style="thin">
          <color auto="1"/>
        </top>
        <bottom/>
        <vertical/>
        <horizontal/>
      </border>
    </dxf>
    <dxf>
      <font>
        <color theme="0"/>
      </font>
    </dxf>
    <dxf>
      <font>
        <color theme="0"/>
      </font>
    </dxf>
    <dxf>
      <font>
        <color rgb="FF00B050"/>
      </font>
      <fill>
        <patternFill>
          <bgColor rgb="FFCCFFCC"/>
        </patternFill>
      </fill>
    </dxf>
    <dxf>
      <font>
        <color theme="0"/>
      </font>
      <fill>
        <patternFill patternType="solid">
          <bgColor rgb="FFFF3F3F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ill>
        <patternFill>
          <bgColor rgb="FF00B050"/>
        </patternFill>
      </fill>
    </dxf>
    <dxf>
      <fill>
        <patternFill patternType="solid">
          <bgColor theme="0"/>
        </patternFill>
      </fill>
    </dxf>
    <dxf>
      <alignment horizontal="general"/>
    </dxf>
    <dxf>
      <alignment horizontal="general"/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alignment horizontal="center" readingOrder="0"/>
    </dxf>
    <dxf>
      <alignment horizontal="center" readingOrder="0"/>
    </dxf>
  </dxfs>
  <tableStyles count="0" defaultTableStyle="TableStyleMedium2" defaultPivotStyle="PivotStyleLight16"/>
  <colors>
    <mruColors>
      <color rgb="FFCCFFCC"/>
      <color rgb="FFC5F0FF"/>
      <color rgb="FFFF0101"/>
      <color rgb="FFFFCCCC"/>
      <color rgb="FFFB9797"/>
      <color rgb="FFE55DBE"/>
      <color rgb="FFFF3F3F"/>
      <color rgb="FFFF8585"/>
      <color rgb="FFF71515"/>
      <color rgb="FFA7E8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4329</xdr:colOff>
      <xdr:row>35</xdr:row>
      <xdr:rowOff>0</xdr:rowOff>
    </xdr:from>
    <xdr:to>
      <xdr:col>23</xdr:col>
      <xdr:colOff>2039217</xdr:colOff>
      <xdr:row>37</xdr:row>
      <xdr:rowOff>178594</xdr:rowOff>
    </xdr:to>
    <xdr:sp macro="[0]!Copy_All_Calculations" textlink="">
      <xdr:nvSpPr>
        <xdr:cNvPr id="11" name="Rectangle 10">
          <a:extLst>
            <a:ext uri="{FF2B5EF4-FFF2-40B4-BE49-F238E27FC236}">
              <a16:creationId xmlns:a16="http://schemas.microsoft.com/office/drawing/2014/main" id="{7B945CF7-C872-4D7C-921B-A84B90C8C3DB}"/>
            </a:ext>
          </a:extLst>
        </xdr:cNvPr>
        <xdr:cNvSpPr/>
      </xdr:nvSpPr>
      <xdr:spPr>
        <a:xfrm>
          <a:off x="16220642" y="7119938"/>
          <a:ext cx="2034888" cy="559594"/>
        </a:xfrm>
        <a:prstGeom prst="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2000" b="1">
              <a:solidFill>
                <a:sysClr val="windowText" lastClr="000000"/>
              </a:solidFill>
            </a:rPr>
            <a:t>COPY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11906</xdr:colOff>
      <xdr:row>14</xdr:row>
      <xdr:rowOff>1</xdr:rowOff>
    </xdr:from>
    <xdr:to>
      <xdr:col>34</xdr:col>
      <xdr:colOff>0</xdr:colOff>
      <xdr:row>18</xdr:row>
      <xdr:rowOff>178595</xdr:rowOff>
    </xdr:to>
    <xdr:sp macro="[0]!VD" textlink="">
      <xdr:nvSpPr>
        <xdr:cNvPr id="2" name="Rectangle 1">
          <a:extLst>
            <a:ext uri="{FF2B5EF4-FFF2-40B4-BE49-F238E27FC236}">
              <a16:creationId xmlns:a16="http://schemas.microsoft.com/office/drawing/2014/main" id="{B8C9ED33-2955-44AE-928B-F01DB5BA22AF}"/>
            </a:ext>
          </a:extLst>
        </xdr:cNvPr>
        <xdr:cNvSpPr/>
      </xdr:nvSpPr>
      <xdr:spPr>
        <a:xfrm>
          <a:off x="17371219" y="2667001"/>
          <a:ext cx="2619375" cy="940594"/>
        </a:xfrm>
        <a:prstGeom prst="rect">
          <a:avLst/>
        </a:prstGeom>
        <a:solidFill>
          <a:srgbClr val="CCFFCC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2000" b="1">
              <a:solidFill>
                <a:sysClr val="windowText" lastClr="000000"/>
              </a:solidFill>
            </a:rPr>
            <a:t>Update Wire Sizes</a:t>
          </a:r>
        </a:p>
      </xdr:txBody>
    </xdr:sp>
    <xdr:clientData/>
  </xdr:twoCellAnchor>
  <xdr:twoCellAnchor>
    <xdr:from>
      <xdr:col>35</xdr:col>
      <xdr:colOff>11906</xdr:colOff>
      <xdr:row>14</xdr:row>
      <xdr:rowOff>0</xdr:rowOff>
    </xdr:from>
    <xdr:to>
      <xdr:col>37</xdr:col>
      <xdr:colOff>333375</xdr:colOff>
      <xdr:row>18</xdr:row>
      <xdr:rowOff>178594</xdr:rowOff>
    </xdr:to>
    <xdr:sp macro="[0]!Reset_VD" textlink="">
      <xdr:nvSpPr>
        <xdr:cNvPr id="3" name="Rectangle 2">
          <a:extLst>
            <a:ext uri="{FF2B5EF4-FFF2-40B4-BE49-F238E27FC236}">
              <a16:creationId xmlns:a16="http://schemas.microsoft.com/office/drawing/2014/main" id="{6ED3DC74-8168-4818-A372-EEE75F65AF8E}"/>
            </a:ext>
          </a:extLst>
        </xdr:cNvPr>
        <xdr:cNvSpPr/>
      </xdr:nvSpPr>
      <xdr:spPr>
        <a:xfrm>
          <a:off x="21085969" y="2667000"/>
          <a:ext cx="2619375" cy="940594"/>
        </a:xfrm>
        <a:prstGeom prst="rect">
          <a:avLst/>
        </a:prstGeom>
        <a:solidFill>
          <a:srgbClr val="FFCCCC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2000" b="1">
              <a:solidFill>
                <a:sysClr val="windowText" lastClr="000000"/>
              </a:solidFill>
            </a:rPr>
            <a:t>Reset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4329</xdr:colOff>
      <xdr:row>38</xdr:row>
      <xdr:rowOff>0</xdr:rowOff>
    </xdr:from>
    <xdr:to>
      <xdr:col>23</xdr:col>
      <xdr:colOff>2039217</xdr:colOff>
      <xdr:row>40</xdr:row>
      <xdr:rowOff>178594</xdr:rowOff>
    </xdr:to>
    <xdr:sp macro="[0]!Copy_All_Calculations_2Inverter" textlink="">
      <xdr:nvSpPr>
        <xdr:cNvPr id="5" name="Rectangle 4">
          <a:extLst>
            <a:ext uri="{FF2B5EF4-FFF2-40B4-BE49-F238E27FC236}">
              <a16:creationId xmlns:a16="http://schemas.microsoft.com/office/drawing/2014/main" id="{8D43618E-6B10-4676-A7B6-53450B199658}"/>
            </a:ext>
          </a:extLst>
        </xdr:cNvPr>
        <xdr:cNvSpPr/>
      </xdr:nvSpPr>
      <xdr:spPr>
        <a:xfrm>
          <a:off x="15768204" y="7105650"/>
          <a:ext cx="2034888" cy="559594"/>
        </a:xfrm>
        <a:prstGeom prst="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2000" b="1">
              <a:solidFill>
                <a:sysClr val="windowText" lastClr="000000"/>
              </a:solidFill>
            </a:rPr>
            <a:t>COPY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11906</xdr:colOff>
      <xdr:row>14</xdr:row>
      <xdr:rowOff>1</xdr:rowOff>
    </xdr:from>
    <xdr:to>
      <xdr:col>34</xdr:col>
      <xdr:colOff>0</xdr:colOff>
      <xdr:row>18</xdr:row>
      <xdr:rowOff>178595</xdr:rowOff>
    </xdr:to>
    <xdr:sp macro="[0]!VD_2Inv" textlink="">
      <xdr:nvSpPr>
        <xdr:cNvPr id="2" name="Rectangle 1">
          <a:extLst>
            <a:ext uri="{FF2B5EF4-FFF2-40B4-BE49-F238E27FC236}">
              <a16:creationId xmlns:a16="http://schemas.microsoft.com/office/drawing/2014/main" id="{FEE2BA3B-CB1A-48A4-9780-1382E2737824}"/>
            </a:ext>
          </a:extLst>
        </xdr:cNvPr>
        <xdr:cNvSpPr/>
      </xdr:nvSpPr>
      <xdr:spPr>
        <a:xfrm>
          <a:off x="17375981" y="2667001"/>
          <a:ext cx="2616994" cy="940594"/>
        </a:xfrm>
        <a:prstGeom prst="rect">
          <a:avLst/>
        </a:prstGeom>
        <a:solidFill>
          <a:srgbClr val="CCFFCC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2000" b="1">
              <a:solidFill>
                <a:sysClr val="windowText" lastClr="000000"/>
              </a:solidFill>
            </a:rPr>
            <a:t>Update Wire Sizes</a:t>
          </a:r>
        </a:p>
      </xdr:txBody>
    </xdr:sp>
    <xdr:clientData/>
  </xdr:twoCellAnchor>
  <xdr:twoCellAnchor>
    <xdr:from>
      <xdr:col>35</xdr:col>
      <xdr:colOff>11906</xdr:colOff>
      <xdr:row>14</xdr:row>
      <xdr:rowOff>0</xdr:rowOff>
    </xdr:from>
    <xdr:to>
      <xdr:col>37</xdr:col>
      <xdr:colOff>333375</xdr:colOff>
      <xdr:row>18</xdr:row>
      <xdr:rowOff>178594</xdr:rowOff>
    </xdr:to>
    <xdr:sp macro="[0]!Reset_VD_2Inv" textlink="">
      <xdr:nvSpPr>
        <xdr:cNvPr id="3" name="Rectangle 2">
          <a:extLst>
            <a:ext uri="{FF2B5EF4-FFF2-40B4-BE49-F238E27FC236}">
              <a16:creationId xmlns:a16="http://schemas.microsoft.com/office/drawing/2014/main" id="{C17D1ADF-0A61-48A3-A1A4-A0F59ACD58EF}"/>
            </a:ext>
          </a:extLst>
        </xdr:cNvPr>
        <xdr:cNvSpPr/>
      </xdr:nvSpPr>
      <xdr:spPr>
        <a:xfrm>
          <a:off x="21090731" y="2667000"/>
          <a:ext cx="2616994" cy="940594"/>
        </a:xfrm>
        <a:prstGeom prst="rect">
          <a:avLst/>
        </a:prstGeom>
        <a:solidFill>
          <a:srgbClr val="FFCCCC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2000" b="1">
              <a:solidFill>
                <a:sysClr val="windowText" lastClr="000000"/>
              </a:solidFill>
            </a:rPr>
            <a:t>Reset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4329</xdr:colOff>
      <xdr:row>38</xdr:row>
      <xdr:rowOff>0</xdr:rowOff>
    </xdr:from>
    <xdr:to>
      <xdr:col>23</xdr:col>
      <xdr:colOff>2039217</xdr:colOff>
      <xdr:row>40</xdr:row>
      <xdr:rowOff>178594</xdr:rowOff>
    </xdr:to>
    <xdr:sp macro="[0]!Copy_All_Calculations_3Inverter" textlink="">
      <xdr:nvSpPr>
        <xdr:cNvPr id="2" name="Rectangle 1">
          <a:extLst>
            <a:ext uri="{FF2B5EF4-FFF2-40B4-BE49-F238E27FC236}">
              <a16:creationId xmlns:a16="http://schemas.microsoft.com/office/drawing/2014/main" id="{66E496DA-3958-48E1-8976-0B09508360E9}"/>
            </a:ext>
          </a:extLst>
        </xdr:cNvPr>
        <xdr:cNvSpPr/>
      </xdr:nvSpPr>
      <xdr:spPr>
        <a:xfrm>
          <a:off x="16082529" y="7077075"/>
          <a:ext cx="2034888" cy="559594"/>
        </a:xfrm>
        <a:prstGeom prst="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2000" b="1">
              <a:solidFill>
                <a:sysClr val="windowText" lastClr="000000"/>
              </a:solidFill>
            </a:rPr>
            <a:t>COPY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11906</xdr:colOff>
      <xdr:row>16</xdr:row>
      <xdr:rowOff>1</xdr:rowOff>
    </xdr:from>
    <xdr:to>
      <xdr:col>34</xdr:col>
      <xdr:colOff>0</xdr:colOff>
      <xdr:row>20</xdr:row>
      <xdr:rowOff>178595</xdr:rowOff>
    </xdr:to>
    <xdr:sp macro="[0]!VD_3Inv" textlink="">
      <xdr:nvSpPr>
        <xdr:cNvPr id="2" name="Rectangle 1">
          <a:extLst>
            <a:ext uri="{FF2B5EF4-FFF2-40B4-BE49-F238E27FC236}">
              <a16:creationId xmlns:a16="http://schemas.microsoft.com/office/drawing/2014/main" id="{03BC38C5-799F-4E0E-A9D5-3D2A7A7FE934}"/>
            </a:ext>
          </a:extLst>
        </xdr:cNvPr>
        <xdr:cNvSpPr/>
      </xdr:nvSpPr>
      <xdr:spPr>
        <a:xfrm>
          <a:off x="17375981" y="2667001"/>
          <a:ext cx="2616994" cy="940594"/>
        </a:xfrm>
        <a:prstGeom prst="rect">
          <a:avLst/>
        </a:prstGeom>
        <a:solidFill>
          <a:srgbClr val="CCFFCC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2000" b="1">
              <a:solidFill>
                <a:sysClr val="windowText" lastClr="000000"/>
              </a:solidFill>
            </a:rPr>
            <a:t>Update Wire Sizes</a:t>
          </a:r>
        </a:p>
      </xdr:txBody>
    </xdr:sp>
    <xdr:clientData/>
  </xdr:twoCellAnchor>
  <xdr:twoCellAnchor>
    <xdr:from>
      <xdr:col>35</xdr:col>
      <xdr:colOff>11906</xdr:colOff>
      <xdr:row>16</xdr:row>
      <xdr:rowOff>0</xdr:rowOff>
    </xdr:from>
    <xdr:to>
      <xdr:col>37</xdr:col>
      <xdr:colOff>333375</xdr:colOff>
      <xdr:row>20</xdr:row>
      <xdr:rowOff>178594</xdr:rowOff>
    </xdr:to>
    <xdr:sp macro="[0]!Reset_VD_3Inv" textlink="">
      <xdr:nvSpPr>
        <xdr:cNvPr id="3" name="Rectangle 2">
          <a:extLst>
            <a:ext uri="{FF2B5EF4-FFF2-40B4-BE49-F238E27FC236}">
              <a16:creationId xmlns:a16="http://schemas.microsoft.com/office/drawing/2014/main" id="{FD8D9480-02EE-4528-93F6-AE95F976D48A}"/>
            </a:ext>
          </a:extLst>
        </xdr:cNvPr>
        <xdr:cNvSpPr/>
      </xdr:nvSpPr>
      <xdr:spPr>
        <a:xfrm>
          <a:off x="21090731" y="2667000"/>
          <a:ext cx="2616994" cy="940594"/>
        </a:xfrm>
        <a:prstGeom prst="rect">
          <a:avLst/>
        </a:prstGeom>
        <a:solidFill>
          <a:srgbClr val="FFCCCC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2000" b="1">
              <a:solidFill>
                <a:sysClr val="windowText" lastClr="000000"/>
              </a:solidFill>
            </a:rPr>
            <a:t>Reset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litricity" refreshedDate="43546.386124305558" createdVersion="6" refreshedVersion="6" minRefreshableVersion="3" recordCount="99" xr:uid="{3C3247E8-07F8-41E4-901D-F1A218A19609}">
  <cacheSource type="worksheet">
    <worksheetSource ref="B2:H101" sheet="Utility &amp; Client Info"/>
  </cacheSource>
  <cacheFields count="7">
    <cacheField name="State" numFmtId="0">
      <sharedItems containsBlank="1" count="12">
        <s v="CT"/>
        <s v="FL"/>
        <s v="IL"/>
        <s v="MA"/>
        <s v="NC"/>
        <s v="NJ"/>
        <s v="NY"/>
        <s v="RI"/>
        <s v="SC"/>
        <s v="TX"/>
        <s v="MD"/>
        <m/>
      </sharedItems>
    </cacheField>
    <cacheField name="Utility Company" numFmtId="0">
      <sharedItems containsBlank="1"/>
    </cacheField>
    <cacheField name="AC Disconnect" numFmtId="0">
      <sharedItems containsBlank="1"/>
    </cacheField>
    <cacheField name="PV Meter" numFmtId="0">
      <sharedItems containsBlank="1"/>
    </cacheField>
    <cacheField name="Equipment Closest to Utility Meter" numFmtId="0">
      <sharedItems containsBlank="1"/>
    </cacheField>
    <cacheField name="Line Side Tap Allowed?" numFmtId="0">
      <sharedItems containsBlank="1"/>
    </cacheField>
    <cacheField name="Bi-Directional Meter Replacement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9">
  <r>
    <x v="0"/>
    <s v="Eversource (NSTAR)"/>
    <s v="Yes (within 10' of utility meter)"/>
    <s v="No"/>
    <s v="AC Disconnect"/>
    <s v="Yes"/>
    <m/>
  </r>
  <r>
    <x v="1"/>
    <s v="Orlando Utilities Commission (OUC)"/>
    <s v="No (unless OVER 10kW AC or doing line side tap, must be called out as &quot;Visible Lockable AC Disconnect&quot;)"/>
    <s v="No"/>
    <s v="AC Disconnect"/>
    <s v="Yes (in MSP not meter base)"/>
    <s v="Yes"/>
  </r>
  <r>
    <x v="1"/>
    <s v="Florida Power &amp; Light Co. (FPL)"/>
    <s v="No (unless OVER 10kW AC or doing line side tap, must be called out as &quot;Visible Lockable AC Disconnect&quot;)"/>
    <s v="No"/>
    <s v="AC Disconnect"/>
    <s v="Yes (in MSP not meter base)"/>
    <s v="Yes"/>
  </r>
  <r>
    <x v="1"/>
    <s v="Kissimmee Utility Authority (KUA)"/>
    <s v="No (unless OVER 10kW AC or doing line side tap, must be called out as &quot;Visible Lockable AC Disconnect&quot;)"/>
    <s v="No"/>
    <s v="AC Disconnect"/>
    <s v="Yes (in MSP not meter base)"/>
    <s v="Yes"/>
  </r>
  <r>
    <x v="1"/>
    <s v="Duke Energy Florida (Progress Energy)"/>
    <s v="No (unless OVER 10kW AC or doing line side tap, must be called out as &quot;Visible Lockable AC Disconnect&quot;)"/>
    <s v="No"/>
    <s v="AC Disconnect"/>
    <s v="Yes, Always (Unless otherwise specified). Tap into the meter base if it's Milbank brand."/>
    <s v="Yes"/>
  </r>
  <r>
    <x v="1"/>
    <s v="Tampa Electric Co (TECO)"/>
    <s v="Yes (within 6' of meter can)"/>
    <s v="No"/>
    <s v="AC Disconnect "/>
    <s v="Yes (in MSP not meter base)"/>
    <s v="Yes"/>
  </r>
  <r>
    <x v="2"/>
    <s v="Ameren Illinois"/>
    <s v="Yes (as close to utility meter as possible, no more than 10')"/>
    <s v="No (If meter isn't AMI, make a note of this in the single line diagram)"/>
    <s v="AC Disconnect"/>
    <s v="Yes"/>
    <m/>
  </r>
  <r>
    <x v="2"/>
    <s v="Commonwealth Edison Co."/>
    <s v="Yes"/>
    <s v="No (If meter isn't AMI, make a note of this in the single line diagram)"/>
    <s v="AC Disconnect"/>
    <s v="Yes (in MSP not meter base)"/>
    <m/>
  </r>
  <r>
    <x v="3"/>
    <s v="Unitil- Massachusetts (Fitchburg Gas and Electric Light Company)"/>
    <s v="Yes"/>
    <s v="Yes - called out as &quot;MA SMART Generation Meter, TOP lugs to Utility (LINE) _x000a_BOTTOM lugs to solar generation (LOAD)&quot;"/>
    <s v="PV Production Meter"/>
    <s v="Yes (in MSP)"/>
    <s v="Yes"/>
  </r>
  <r>
    <x v="3"/>
    <s v="Eversource (WMDG, EMDG, NSTAR)"/>
    <s v="Yes (within 10' of utility meter)"/>
    <s v="Yes - called out as &quot;MA SMART Generation Meter, TOP lugs to Utility (LINE) _x000a_BOTTOM lugs to solar generation (LOAD)&quot;"/>
    <s v="AC Disconnect"/>
    <s v="Yes"/>
    <m/>
  </r>
  <r>
    <x v="3"/>
    <s v="Taunton Municipal Lighting Plant (TMLP)"/>
    <s v="Yes (within 4' of utility meter socket)"/>
    <s v="No (unless the system is larger than 60kW)"/>
    <s v="AC Disconnect"/>
    <s v="Yes"/>
    <m/>
  </r>
  <r>
    <x v="3"/>
    <s v="National Grid"/>
    <s v="Yes (needs to be in line of sight of utility meter, if not a label is required indicating where the AC disconnect is). "/>
    <s v="Yes - called out as &quot;MA SMART Generation Meter, TOP lugs to Utility (LINE) _x000a_BOTTOM lugs to solar generation (LOAD)&quot;"/>
    <s v="PV Production Meter"/>
    <s v="Yes"/>
    <m/>
  </r>
  <r>
    <x v="4"/>
    <s v="Union Electric Membership Corp"/>
    <s v="Yes"/>
    <s v="No"/>
    <s v="AC Disconnect"/>
    <s v="Yes"/>
    <s v="Yes"/>
  </r>
  <r>
    <x v="4"/>
    <s v="Duke Energy"/>
    <s v="Yes"/>
    <s v="No"/>
    <s v="AC Disconnect"/>
    <s v="Yes, Always (Unless otherwise specified). Tap into the meter base if it's Milbank brand."/>
    <s v="Yes"/>
  </r>
  <r>
    <x v="5"/>
    <s v="Jersey Central Power &amp; Light (JCP&amp;L)"/>
    <s v="Yes"/>
    <s v="No"/>
    <s v="AC Disconnect"/>
    <s v="Yes (in MSP not meter base)"/>
    <s v="Yes"/>
  </r>
  <r>
    <x v="5"/>
    <s v="Public Service Electric &amp; Gas (PSE&amp;G)"/>
    <s v="Yes"/>
    <s v="No"/>
    <s v="AC Disconnect"/>
    <s v="Yes"/>
    <s v="Yes"/>
  </r>
  <r>
    <x v="5"/>
    <s v="Atlantic City Electric Co"/>
    <s v="No (unless OVER 25kW AC or doing line side tap)"/>
    <s v="No"/>
    <s v="AC Disconnect"/>
    <s v="Yes (in MSP not meter base)"/>
    <s v="Yes"/>
  </r>
  <r>
    <x v="6"/>
    <s v="Con Edison"/>
    <s v="No (unless over 25kW AC, or doing line side tap)"/>
    <s v="No"/>
    <s v="AC Disconnect"/>
    <s v="Yes (in MSP not meter base)"/>
    <m/>
  </r>
  <r>
    <x v="6"/>
    <s v="Central Hudson Gas &amp; Electric Co."/>
    <s v="No (unless doing line side tap)"/>
    <s v="No"/>
    <s v="AC Disconnect"/>
    <s v="Yes"/>
    <s v="Yes"/>
  </r>
  <r>
    <x v="6"/>
    <s v="Public Service Electric &amp; Gas LONG ISLAND (PSE&amp;G)"/>
    <s v="Yes"/>
    <s v="No"/>
    <s v="AC Disconnect"/>
    <s v="Yes (in MSP only)"/>
    <s v="Yes"/>
  </r>
  <r>
    <x v="6"/>
    <s v="Rochester Gas &amp; Electric (RG&amp;E)"/>
    <s v="No - Generating equipment with system size larger than 25kW and non-inverter based systems of 25kW or less shall be capable of being isolated from the utility system by means of an external, manual, visible, gang-operated load-break disconnect switch."/>
    <s v="No"/>
    <s v="AC Disconnect"/>
    <s v="Yes (in MSP only)"/>
    <s v="Yes"/>
  </r>
  <r>
    <x v="7"/>
    <s v="National Grid - Regrowth Program (REG)"/>
    <s v="Yes"/>
    <s v="No"/>
    <s v="AC Disconnect"/>
    <s v="No, Parallel Service"/>
    <m/>
  </r>
  <r>
    <x v="7"/>
    <s v="National Grid - Net Metering"/>
    <s v="Yes"/>
    <s v="No"/>
    <s v="AC Disconnect"/>
    <s v="Yes (in MSP)"/>
    <s v="Yes"/>
  </r>
  <r>
    <x v="8"/>
    <s v="Duke Energy"/>
    <s v="Yes"/>
    <s v="No"/>
    <s v="AC Disconnect"/>
    <s v="Yes, Always (Unless otherwise specified). Tap into the meter base if it's Milbank brand."/>
    <s v="Yes"/>
  </r>
  <r>
    <x v="8"/>
    <s v="South Carolina Electric &amp; Gas Company (SCE&amp;G, SCANA)"/>
    <s v="Yes"/>
    <s v="Yes (Customer Generation Meter)"/>
    <s v="AC Disconnect"/>
    <s v="Yes"/>
    <m/>
  </r>
  <r>
    <x v="8"/>
    <s v="Berkeley Electric Cooperative"/>
    <s v="Yes (recommended to be within 10' of utility meter)"/>
    <s v="No"/>
    <s v="AC Disconnect"/>
    <s v="Yes"/>
    <m/>
  </r>
  <r>
    <x v="8"/>
    <s v="Laurens Electric Coop, Inc"/>
    <s v="Yes"/>
    <s v="No"/>
    <s v="AC Disconnect"/>
    <s v="Case by case (in MSP should be fine)"/>
    <s v="Yes"/>
  </r>
  <r>
    <x v="9"/>
    <s v="CPS Energy"/>
    <s v="Yes"/>
    <s v="Yes"/>
    <s v="PV Production Meter"/>
    <s v="Yes (use tap box)"/>
    <m/>
  </r>
  <r>
    <x v="9"/>
    <s v="HILCO"/>
    <s v="Yes (as close to utility meter as possible)"/>
    <s v="No"/>
    <s v="AC Disconnect"/>
    <s v="Yes (in MSP, not meter base)"/>
    <s v="Yes"/>
  </r>
  <r>
    <x v="9"/>
    <s v="Austin Energy"/>
    <s v="Yes"/>
    <s v="Yes"/>
    <s v="PV Production Meter"/>
    <s v="Yes"/>
    <m/>
  </r>
  <r>
    <x v="9"/>
    <s v="Hamilton County Electric Cooperative (HCEC)"/>
    <s v="Yes"/>
    <s v="No"/>
    <s v="AC Disconnect"/>
    <s v="Yes (in MSP only)"/>
    <m/>
  </r>
  <r>
    <x v="9"/>
    <s v="Pedernales Electric Cooperative (PEC)"/>
    <s v="Yes (Visible, Lockable)"/>
    <s v="No"/>
    <s v="AC Disconnect"/>
    <s v="Yes (in MSP only)"/>
    <m/>
  </r>
  <r>
    <x v="9"/>
    <s v="Bluebonnet Electric Cooperative"/>
    <s v="Yes"/>
    <s v="No"/>
    <s v="AC Disconnect"/>
    <s v="Yes"/>
    <s v="Yes"/>
  </r>
  <r>
    <x v="9"/>
    <s v="Farmers Electric Coop"/>
    <s v="Yes"/>
    <s v="Yes"/>
    <s v="AC Disconnect"/>
    <s v="Yes (in MSP only)"/>
    <s v="No"/>
  </r>
  <r>
    <x v="9"/>
    <s v="ONCOR"/>
    <s v="Yes (within 10' of utility meter, if farther than 10' the location must be shown on a placard)"/>
    <s v="No"/>
    <s v="AC Disconnect"/>
    <s v="Yes   (in MSP)"/>
    <s v="Yes"/>
  </r>
  <r>
    <x v="9"/>
    <s v="Grayson Collin Electric Cooperative (GCEC)"/>
    <s v="Yes"/>
    <s v="No"/>
    <s v="AC Disconnect"/>
    <s v="Yes (anywhere other than in meter base)"/>
    <s v="Yes"/>
  </r>
  <r>
    <x v="9"/>
    <s v="CoServ"/>
    <s v="Yes"/>
    <s v="Yes (owned by CoServ)"/>
    <s v="AC Disconnect"/>
    <s v="Yes (in MSP only)"/>
    <s v="Yes"/>
  </r>
  <r>
    <x v="9"/>
    <s v="Central Texas Electric Coop (CTEC)"/>
    <s v="Yes"/>
    <s v="No"/>
    <s v="AC Disconnect"/>
    <s v="Yes (in MSP only)"/>
    <s v="Yes"/>
  </r>
  <r>
    <x v="9"/>
    <s v="Navasota Valley Electric Coop"/>
    <s v="Yes"/>
    <s v="No"/>
    <s v="AC Disconnect"/>
    <s v="Yes (in MSP)"/>
    <s v="Yes"/>
  </r>
  <r>
    <x v="9"/>
    <s v="Texas New Mexico Power Co (TNMP)"/>
    <s v="Yes"/>
    <s v="No"/>
    <s v="AC Disconnect"/>
    <s v="Yes (in MSP only)"/>
    <s v="Yes"/>
  </r>
  <r>
    <x v="8"/>
    <s v="Aiken Electric Cooperative Inc."/>
    <s v="Yes"/>
    <s v="No"/>
    <s v="AC Disconnect"/>
    <s v="Yes (in MSP)"/>
    <s v="Yes"/>
  </r>
  <r>
    <x v="10"/>
    <s v="BG&amp;E"/>
    <s v="Yes"/>
    <s v="No"/>
    <s v="AC Disconnect"/>
    <s v="No"/>
    <s v="Yes"/>
  </r>
  <r>
    <x v="0"/>
    <s v="United Illuminating Co"/>
    <s v="Yes (within 10' of utility meter, must be called out as Generator Isolation Device)"/>
    <s v="No"/>
    <s v="AC Disconnect"/>
    <s v="Yes"/>
    <m/>
  </r>
  <r>
    <x v="11"/>
    <m/>
    <m/>
    <m/>
    <m/>
    <m/>
    <m/>
  </r>
  <r>
    <x v="11"/>
    <m/>
    <m/>
    <m/>
    <m/>
    <m/>
    <m/>
  </r>
  <r>
    <x v="11"/>
    <m/>
    <m/>
    <m/>
    <m/>
    <m/>
    <m/>
  </r>
  <r>
    <x v="11"/>
    <m/>
    <m/>
    <m/>
    <m/>
    <m/>
    <m/>
  </r>
  <r>
    <x v="11"/>
    <m/>
    <m/>
    <m/>
    <m/>
    <m/>
    <m/>
  </r>
  <r>
    <x v="11"/>
    <m/>
    <m/>
    <m/>
    <m/>
    <m/>
    <m/>
  </r>
  <r>
    <x v="11"/>
    <m/>
    <m/>
    <m/>
    <m/>
    <m/>
    <m/>
  </r>
  <r>
    <x v="11"/>
    <m/>
    <m/>
    <m/>
    <m/>
    <m/>
    <m/>
  </r>
  <r>
    <x v="11"/>
    <m/>
    <m/>
    <m/>
    <m/>
    <m/>
    <m/>
  </r>
  <r>
    <x v="11"/>
    <m/>
    <m/>
    <m/>
    <m/>
    <m/>
    <m/>
  </r>
  <r>
    <x v="11"/>
    <m/>
    <m/>
    <m/>
    <m/>
    <m/>
    <m/>
  </r>
  <r>
    <x v="11"/>
    <m/>
    <m/>
    <m/>
    <m/>
    <m/>
    <m/>
  </r>
  <r>
    <x v="11"/>
    <m/>
    <m/>
    <m/>
    <m/>
    <m/>
    <m/>
  </r>
  <r>
    <x v="11"/>
    <m/>
    <m/>
    <m/>
    <m/>
    <m/>
    <m/>
  </r>
  <r>
    <x v="11"/>
    <m/>
    <m/>
    <m/>
    <m/>
    <m/>
    <m/>
  </r>
  <r>
    <x v="11"/>
    <m/>
    <m/>
    <m/>
    <m/>
    <m/>
    <m/>
  </r>
  <r>
    <x v="11"/>
    <m/>
    <m/>
    <m/>
    <m/>
    <m/>
    <m/>
  </r>
  <r>
    <x v="11"/>
    <m/>
    <m/>
    <m/>
    <m/>
    <m/>
    <m/>
  </r>
  <r>
    <x v="11"/>
    <m/>
    <m/>
    <m/>
    <m/>
    <m/>
    <m/>
  </r>
  <r>
    <x v="11"/>
    <m/>
    <m/>
    <m/>
    <m/>
    <m/>
    <m/>
  </r>
  <r>
    <x v="11"/>
    <m/>
    <m/>
    <m/>
    <m/>
    <m/>
    <m/>
  </r>
  <r>
    <x v="11"/>
    <m/>
    <m/>
    <m/>
    <m/>
    <m/>
    <m/>
  </r>
  <r>
    <x v="11"/>
    <m/>
    <m/>
    <m/>
    <m/>
    <m/>
    <m/>
  </r>
  <r>
    <x v="11"/>
    <m/>
    <m/>
    <m/>
    <m/>
    <m/>
    <m/>
  </r>
  <r>
    <x v="11"/>
    <m/>
    <m/>
    <m/>
    <m/>
    <m/>
    <m/>
  </r>
  <r>
    <x v="11"/>
    <m/>
    <m/>
    <m/>
    <m/>
    <m/>
    <m/>
  </r>
  <r>
    <x v="11"/>
    <m/>
    <m/>
    <m/>
    <m/>
    <m/>
    <m/>
  </r>
  <r>
    <x v="11"/>
    <m/>
    <m/>
    <m/>
    <m/>
    <m/>
    <m/>
  </r>
  <r>
    <x v="11"/>
    <m/>
    <m/>
    <m/>
    <m/>
    <m/>
    <m/>
  </r>
  <r>
    <x v="11"/>
    <m/>
    <m/>
    <m/>
    <m/>
    <m/>
    <m/>
  </r>
  <r>
    <x v="11"/>
    <m/>
    <m/>
    <m/>
    <m/>
    <m/>
    <m/>
  </r>
  <r>
    <x v="11"/>
    <m/>
    <m/>
    <m/>
    <m/>
    <m/>
    <m/>
  </r>
  <r>
    <x v="11"/>
    <m/>
    <m/>
    <m/>
    <m/>
    <m/>
    <m/>
  </r>
  <r>
    <x v="11"/>
    <m/>
    <m/>
    <m/>
    <m/>
    <m/>
    <m/>
  </r>
  <r>
    <x v="11"/>
    <m/>
    <m/>
    <m/>
    <m/>
    <m/>
    <m/>
  </r>
  <r>
    <x v="11"/>
    <m/>
    <m/>
    <m/>
    <m/>
    <m/>
    <m/>
  </r>
  <r>
    <x v="11"/>
    <m/>
    <m/>
    <m/>
    <m/>
    <m/>
    <m/>
  </r>
  <r>
    <x v="11"/>
    <m/>
    <m/>
    <m/>
    <m/>
    <m/>
    <m/>
  </r>
  <r>
    <x v="11"/>
    <m/>
    <m/>
    <m/>
    <m/>
    <m/>
    <m/>
  </r>
  <r>
    <x v="11"/>
    <m/>
    <m/>
    <m/>
    <m/>
    <m/>
    <m/>
  </r>
  <r>
    <x v="11"/>
    <m/>
    <m/>
    <m/>
    <m/>
    <m/>
    <m/>
  </r>
  <r>
    <x v="11"/>
    <m/>
    <m/>
    <m/>
    <m/>
    <m/>
    <m/>
  </r>
  <r>
    <x v="11"/>
    <m/>
    <m/>
    <m/>
    <m/>
    <m/>
    <m/>
  </r>
  <r>
    <x v="11"/>
    <m/>
    <m/>
    <m/>
    <m/>
    <m/>
    <m/>
  </r>
  <r>
    <x v="11"/>
    <m/>
    <m/>
    <m/>
    <m/>
    <m/>
    <m/>
  </r>
  <r>
    <x v="11"/>
    <m/>
    <m/>
    <m/>
    <m/>
    <m/>
    <m/>
  </r>
  <r>
    <x v="11"/>
    <m/>
    <m/>
    <m/>
    <m/>
    <m/>
    <m/>
  </r>
  <r>
    <x v="11"/>
    <m/>
    <m/>
    <m/>
    <m/>
    <m/>
    <m/>
  </r>
  <r>
    <x v="11"/>
    <m/>
    <m/>
    <m/>
    <m/>
    <m/>
    <m/>
  </r>
  <r>
    <x v="11"/>
    <m/>
    <m/>
    <m/>
    <m/>
    <m/>
    <m/>
  </r>
  <r>
    <x v="11"/>
    <m/>
    <m/>
    <m/>
    <m/>
    <m/>
    <m/>
  </r>
  <r>
    <x v="11"/>
    <m/>
    <m/>
    <m/>
    <m/>
    <m/>
    <m/>
  </r>
  <r>
    <x v="11"/>
    <m/>
    <m/>
    <m/>
    <m/>
    <m/>
    <m/>
  </r>
  <r>
    <x v="11"/>
    <m/>
    <m/>
    <m/>
    <m/>
    <m/>
    <m/>
  </r>
  <r>
    <x v="11"/>
    <m/>
    <m/>
    <m/>
    <m/>
    <m/>
    <m/>
  </r>
  <r>
    <x v="11"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4E02665-8379-4B45-9A9D-6C766AED4EC6}" name="StatePivotTable" cacheId="0" applyNumberFormats="0" applyBorderFormats="0" applyFontFormats="0" applyPatternFormats="0" applyAlignmentFormats="0" applyWidthHeightFormats="1" dataCaption="Values" updatedVersion="6" minRefreshableVersion="3" rowGrandTotals="0" colGrandTotals="0" itemPrintTitles="1" createdVersion="5" indent="0" showHeaders="0" outline="1" outlineData="1" multipleFieldFilters="0">
  <location ref="L4:L14" firstHeaderRow="0" firstDataRow="0" firstDataCol="1"/>
  <pivotFields count="7">
    <pivotField axis="axisRow" showAll="0" sortType="ascending">
      <items count="13">
        <item x="0"/>
        <item x="1"/>
        <item x="2"/>
        <item x="3"/>
        <item x="10"/>
        <item x="4"/>
        <item x="5"/>
        <item x="6"/>
        <item x="7"/>
        <item x="8"/>
        <item x="9"/>
        <item x="11"/>
        <item t="default"/>
      </items>
    </pivotField>
    <pivotField showAll="0"/>
    <pivotField showAll="0"/>
    <pivotField showAll="0"/>
    <pivotField showAll="0"/>
    <pivotField showAll="0"/>
    <pivotField showAl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</rowItems>
  <colItems count="1">
    <i/>
  </colItems>
  <formats count="7">
    <format dxfId="74">
      <pivotArea type="all" dataOnly="0" outline="0" fieldPosition="0"/>
    </format>
    <format dxfId="73">
      <pivotArea dataOnly="0" labelOnly="1" fieldPosition="0">
        <references count="1">
          <reference field="0" count="0"/>
        </references>
      </pivotArea>
    </format>
    <format dxfId="72">
      <pivotArea type="all" dataOnly="0" outline="0" fieldPosition="0"/>
    </format>
    <format dxfId="71">
      <pivotArea dataOnly="0" labelOnly="1" fieldPosition="0">
        <references count="1">
          <reference field="0" count="0"/>
        </references>
      </pivotArea>
    </format>
    <format dxfId="70">
      <pivotArea type="all" dataOnly="0" outline="0" fieldPosition="0"/>
    </format>
    <format dxfId="69">
      <pivotArea dataOnly="0" labelOnly="1" fieldPosition="0">
        <references count="1">
          <reference field="0" count="0"/>
        </references>
      </pivotArea>
    </format>
    <format dxfId="68">
      <pivotArea dataOnly="0" labelOnly="1" fieldPosition="0">
        <references count="1">
          <reference field="0" count="7">
            <x v="0"/>
            <x v="1"/>
            <x v="2"/>
            <x v="3"/>
            <x v="5"/>
            <x v="6"/>
            <x v="7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6280CD-2634-4578-8E9B-89D59AE5BAE8}">
  <sheetPr codeName="Sheet10">
    <tabColor theme="1"/>
  </sheetPr>
  <dimension ref="B2:Z101"/>
  <sheetViews>
    <sheetView zoomScale="70" zoomScaleNormal="70" workbookViewId="0"/>
  </sheetViews>
  <sheetFormatPr defaultRowHeight="15" x14ac:dyDescent="0.25"/>
  <cols>
    <col min="2" max="2" width="10.7109375" customWidth="1"/>
    <col min="3" max="3" width="66.28515625" bestFit="1" customWidth="1"/>
    <col min="4" max="4" width="137.7109375" bestFit="1" customWidth="1"/>
    <col min="5" max="5" width="118.42578125" bestFit="1" customWidth="1"/>
    <col min="6" max="6" width="34.5703125" customWidth="1"/>
    <col min="7" max="7" width="89.5703125" bestFit="1" customWidth="1"/>
    <col min="8" max="8" width="32.28515625" bestFit="1" customWidth="1"/>
    <col min="9" max="9" width="34.7109375" bestFit="1" customWidth="1"/>
    <col min="10" max="10" width="61.28515625" bestFit="1" customWidth="1"/>
    <col min="13" max="13" width="23.28515625" bestFit="1" customWidth="1"/>
    <col min="14" max="14" width="41.140625" bestFit="1" customWidth="1"/>
    <col min="15" max="15" width="29.42578125" bestFit="1" customWidth="1"/>
    <col min="16" max="16" width="68.42578125" bestFit="1" customWidth="1"/>
    <col min="17" max="17" width="7.7109375" bestFit="1" customWidth="1"/>
    <col min="18" max="18" width="34.42578125" bestFit="1" customWidth="1"/>
    <col min="19" max="19" width="40.5703125" customWidth="1"/>
    <col min="20" max="20" width="56.85546875" bestFit="1" customWidth="1"/>
    <col min="21" max="21" width="43" bestFit="1" customWidth="1"/>
    <col min="22" max="22" width="61.5703125" bestFit="1" customWidth="1"/>
    <col min="23" max="23" width="49" bestFit="1" customWidth="1"/>
    <col min="25" max="25" width="19.7109375" bestFit="1" customWidth="1"/>
    <col min="26" max="26" width="113.5703125" bestFit="1" customWidth="1"/>
  </cols>
  <sheetData>
    <row r="2" spans="2:26" x14ac:dyDescent="0.25">
      <c r="B2" s="86" t="s">
        <v>362</v>
      </c>
      <c r="C2" s="86" t="s">
        <v>298</v>
      </c>
      <c r="D2" s="86" t="s">
        <v>331</v>
      </c>
      <c r="E2" s="86" t="s">
        <v>357</v>
      </c>
      <c r="F2" s="86" t="s">
        <v>358</v>
      </c>
      <c r="G2" s="86" t="s">
        <v>359</v>
      </c>
      <c r="H2" s="86" t="s">
        <v>360</v>
      </c>
      <c r="I2" s="86" t="s">
        <v>715</v>
      </c>
      <c r="J2" s="86" t="s">
        <v>759</v>
      </c>
      <c r="L2" s="86" t="s">
        <v>362</v>
      </c>
      <c r="M2" s="233" t="s">
        <v>350</v>
      </c>
      <c r="N2" s="233" t="s">
        <v>351</v>
      </c>
      <c r="O2" s="233" t="s">
        <v>352</v>
      </c>
      <c r="P2" s="233" t="s">
        <v>348</v>
      </c>
      <c r="Q2" s="233" t="s">
        <v>751</v>
      </c>
      <c r="R2" s="233" t="s">
        <v>349</v>
      </c>
      <c r="S2" s="233" t="s">
        <v>353</v>
      </c>
      <c r="T2" s="233" t="s">
        <v>354</v>
      </c>
      <c r="U2" s="313" t="s">
        <v>742</v>
      </c>
      <c r="V2" s="233" t="s">
        <v>355</v>
      </c>
      <c r="W2" s="233" t="s">
        <v>356</v>
      </c>
      <c r="X2" s="68"/>
      <c r="Y2" s="131" t="s">
        <v>291</v>
      </c>
      <c r="Z2" s="132" t="s">
        <v>380</v>
      </c>
    </row>
    <row r="3" spans="2:26" x14ac:dyDescent="0.25">
      <c r="B3" s="126" t="s">
        <v>350</v>
      </c>
      <c r="C3" s="78" t="s">
        <v>305</v>
      </c>
      <c r="D3" s="127" t="s">
        <v>756</v>
      </c>
      <c r="E3" s="78" t="s">
        <v>89</v>
      </c>
      <c r="F3" s="127" t="s">
        <v>331</v>
      </c>
      <c r="G3" s="78" t="s">
        <v>88</v>
      </c>
      <c r="H3" s="128"/>
      <c r="I3" s="69" t="s">
        <v>716</v>
      </c>
      <c r="J3" s="69" t="s">
        <v>758</v>
      </c>
      <c r="L3" s="232" t="s">
        <v>366</v>
      </c>
      <c r="M3" s="78" t="str">
        <f t="array" ref="M3">IFERROR(INDEX($B$3:$C$31, SMALL(IF(($M$2=$B$3:$B$31), ROW($B$3:$B$31)-MIN(ROW($B$3:$B$31))+1, ""),ROWS($K$11:K11)), 2), "")</f>
        <v>Eversource (NSTAR)</v>
      </c>
      <c r="N3" s="78" t="s">
        <v>306</v>
      </c>
      <c r="O3" s="78" t="s">
        <v>310</v>
      </c>
      <c r="P3" s="78" t="s">
        <v>303</v>
      </c>
      <c r="Q3" s="78" t="s">
        <v>754</v>
      </c>
      <c r="R3" s="78" t="s">
        <v>304</v>
      </c>
      <c r="S3" s="78" t="s">
        <v>315</v>
      </c>
      <c r="T3" s="78" t="s">
        <v>318</v>
      </c>
      <c r="U3" s="69" t="s">
        <v>743</v>
      </c>
      <c r="V3" s="78" t="s">
        <v>531</v>
      </c>
      <c r="W3" s="78" t="s">
        <v>323</v>
      </c>
      <c r="Y3" s="133" t="s">
        <v>92</v>
      </c>
      <c r="Z3" s="133" t="s">
        <v>391</v>
      </c>
    </row>
    <row r="4" spans="2:26" x14ac:dyDescent="0.25">
      <c r="B4" s="129" t="s">
        <v>350</v>
      </c>
      <c r="C4" s="69" t="s">
        <v>750</v>
      </c>
      <c r="D4" s="108" t="s">
        <v>756</v>
      </c>
      <c r="E4" s="69" t="s">
        <v>89</v>
      </c>
      <c r="F4" s="108" t="s">
        <v>331</v>
      </c>
      <c r="G4" s="69" t="s">
        <v>88</v>
      </c>
      <c r="H4" s="109"/>
      <c r="I4" s="69" t="s">
        <v>750</v>
      </c>
      <c r="J4" s="69" t="s">
        <v>758</v>
      </c>
      <c r="L4" s="69" t="s">
        <v>350</v>
      </c>
      <c r="M4" s="69" t="s">
        <v>750</v>
      </c>
      <c r="N4" s="69" t="s">
        <v>307</v>
      </c>
      <c r="O4" s="69" t="s">
        <v>311</v>
      </c>
      <c r="P4" s="69" t="s">
        <v>312</v>
      </c>
      <c r="Q4" s="69"/>
      <c r="R4" s="69" t="s">
        <v>531</v>
      </c>
      <c r="S4" s="69" t="s">
        <v>316</v>
      </c>
      <c r="T4" s="69" t="s">
        <v>319</v>
      </c>
      <c r="U4" s="69" t="s">
        <v>744</v>
      </c>
      <c r="V4" s="69" t="s">
        <v>320</v>
      </c>
      <c r="W4" s="69" t="s">
        <v>324</v>
      </c>
    </row>
    <row r="5" spans="2:26" x14ac:dyDescent="0.25">
      <c r="B5" s="129" t="s">
        <v>351</v>
      </c>
      <c r="C5" s="69" t="s">
        <v>306</v>
      </c>
      <c r="D5" s="108" t="s">
        <v>333</v>
      </c>
      <c r="E5" s="69" t="s">
        <v>89</v>
      </c>
      <c r="F5" s="108" t="s">
        <v>331</v>
      </c>
      <c r="G5" s="69" t="s">
        <v>334</v>
      </c>
      <c r="H5" s="109" t="s">
        <v>88</v>
      </c>
      <c r="I5" s="69" t="s">
        <v>717</v>
      </c>
      <c r="J5" s="69" t="s">
        <v>758</v>
      </c>
      <c r="L5" s="69" t="s">
        <v>351</v>
      </c>
      <c r="M5" s="69"/>
      <c r="N5" s="69" t="s">
        <v>308</v>
      </c>
      <c r="O5" s="69"/>
      <c r="P5" s="69" t="s">
        <v>313</v>
      </c>
      <c r="Q5" s="69"/>
      <c r="R5" s="69"/>
      <c r="S5" s="69" t="s">
        <v>317</v>
      </c>
      <c r="T5" s="69" t="s">
        <v>545</v>
      </c>
      <c r="U5" s="69"/>
      <c r="V5" s="69" t="s">
        <v>321</v>
      </c>
      <c r="W5" s="69" t="s">
        <v>325</v>
      </c>
    </row>
    <row r="6" spans="2:26" x14ac:dyDescent="0.25">
      <c r="B6" s="129" t="s">
        <v>351</v>
      </c>
      <c r="C6" s="69" t="s">
        <v>307</v>
      </c>
      <c r="D6" s="108" t="s">
        <v>333</v>
      </c>
      <c r="E6" s="69" t="s">
        <v>89</v>
      </c>
      <c r="F6" s="108" t="s">
        <v>331</v>
      </c>
      <c r="G6" s="69" t="s">
        <v>334</v>
      </c>
      <c r="H6" s="109" t="s">
        <v>88</v>
      </c>
      <c r="I6" s="69" t="s">
        <v>721</v>
      </c>
      <c r="J6" s="69" t="s">
        <v>758</v>
      </c>
      <c r="L6" s="69" t="s">
        <v>352</v>
      </c>
      <c r="M6" s="69"/>
      <c r="N6" s="69" t="s">
        <v>309</v>
      </c>
      <c r="O6" s="69"/>
      <c r="P6" s="69" t="s">
        <v>314</v>
      </c>
      <c r="Q6" s="69"/>
      <c r="R6" s="69"/>
      <c r="S6" s="69"/>
      <c r="T6" s="69" t="s">
        <v>546</v>
      </c>
      <c r="U6" s="69"/>
      <c r="V6" s="69" t="s">
        <v>322</v>
      </c>
      <c r="W6" s="69" t="s">
        <v>326</v>
      </c>
    </row>
    <row r="7" spans="2:26" x14ac:dyDescent="0.25">
      <c r="B7" s="129" t="s">
        <v>351</v>
      </c>
      <c r="C7" s="69" t="s">
        <v>308</v>
      </c>
      <c r="D7" s="108" t="s">
        <v>333</v>
      </c>
      <c r="E7" s="69" t="s">
        <v>89</v>
      </c>
      <c r="F7" s="108" t="s">
        <v>331</v>
      </c>
      <c r="G7" s="69" t="s">
        <v>334</v>
      </c>
      <c r="H7" s="109" t="s">
        <v>88</v>
      </c>
      <c r="I7" s="69" t="s">
        <v>718</v>
      </c>
      <c r="J7" s="69" t="s">
        <v>758</v>
      </c>
      <c r="L7" s="69" t="s">
        <v>348</v>
      </c>
      <c r="M7" s="69"/>
      <c r="N7" s="69" t="s">
        <v>364</v>
      </c>
      <c r="O7" s="69"/>
      <c r="P7" s="69"/>
      <c r="Q7" s="69"/>
      <c r="R7" s="69"/>
      <c r="S7" s="69"/>
      <c r="T7" s="69"/>
      <c r="U7" s="69"/>
      <c r="V7" s="69" t="s">
        <v>752</v>
      </c>
      <c r="W7" s="69" t="s">
        <v>397</v>
      </c>
    </row>
    <row r="8" spans="2:26" x14ac:dyDescent="0.25">
      <c r="B8" s="129" t="s">
        <v>351</v>
      </c>
      <c r="C8" s="69" t="s">
        <v>309</v>
      </c>
      <c r="D8" s="108" t="s">
        <v>333</v>
      </c>
      <c r="E8" s="69" t="s">
        <v>89</v>
      </c>
      <c r="F8" s="108" t="s">
        <v>331</v>
      </c>
      <c r="G8" s="69" t="s">
        <v>368</v>
      </c>
      <c r="H8" s="109" t="s">
        <v>88</v>
      </c>
      <c r="I8" s="69" t="s">
        <v>531</v>
      </c>
      <c r="J8" s="69" t="s">
        <v>755</v>
      </c>
      <c r="L8" s="68" t="s">
        <v>751</v>
      </c>
      <c r="M8" s="69"/>
      <c r="N8" s="69"/>
      <c r="O8" s="69"/>
      <c r="P8" s="69"/>
      <c r="Q8" s="69"/>
      <c r="R8" s="69"/>
      <c r="S8" s="69"/>
      <c r="T8" s="69"/>
      <c r="U8" s="69"/>
      <c r="V8" s="69"/>
      <c r="W8" s="69" t="s">
        <v>327</v>
      </c>
    </row>
    <row r="9" spans="2:26" x14ac:dyDescent="0.25">
      <c r="B9" s="129" t="s">
        <v>351</v>
      </c>
      <c r="C9" s="69" t="s">
        <v>364</v>
      </c>
      <c r="D9" s="108" t="s">
        <v>394</v>
      </c>
      <c r="E9" s="69" t="s">
        <v>89</v>
      </c>
      <c r="F9" s="108" t="s">
        <v>393</v>
      </c>
      <c r="G9" s="69" t="s">
        <v>334</v>
      </c>
      <c r="H9" s="109" t="s">
        <v>88</v>
      </c>
      <c r="I9" s="69" t="s">
        <v>722</v>
      </c>
      <c r="J9" s="69" t="s">
        <v>758</v>
      </c>
      <c r="L9" s="69" t="s">
        <v>349</v>
      </c>
      <c r="M9" s="69"/>
      <c r="N9" s="69"/>
      <c r="O9" s="69"/>
      <c r="P9" s="69"/>
      <c r="Q9" s="69"/>
      <c r="R9" s="69"/>
      <c r="S9" s="69"/>
      <c r="T9" s="69"/>
      <c r="U9" s="69"/>
      <c r="V9" s="69"/>
      <c r="W9" s="69" t="s">
        <v>328</v>
      </c>
    </row>
    <row r="10" spans="2:26" x14ac:dyDescent="0.25">
      <c r="B10" s="129" t="s">
        <v>352</v>
      </c>
      <c r="C10" s="69" t="s">
        <v>310</v>
      </c>
      <c r="D10" s="108" t="s">
        <v>335</v>
      </c>
      <c r="E10" s="69" t="s">
        <v>365</v>
      </c>
      <c r="F10" s="108" t="s">
        <v>331</v>
      </c>
      <c r="G10" s="69" t="s">
        <v>88</v>
      </c>
      <c r="H10" s="109"/>
      <c r="I10" s="69" t="s">
        <v>723</v>
      </c>
      <c r="J10" s="69" t="s">
        <v>758</v>
      </c>
      <c r="L10" s="69" t="s">
        <v>353</v>
      </c>
      <c r="M10" s="69"/>
      <c r="N10" s="69"/>
      <c r="O10" s="69"/>
      <c r="P10" s="69"/>
      <c r="Q10" s="69"/>
      <c r="R10" s="69"/>
      <c r="S10" s="69"/>
      <c r="T10" s="69"/>
      <c r="U10" s="69"/>
      <c r="V10" s="69"/>
      <c r="W10" s="69" t="s">
        <v>547</v>
      </c>
    </row>
    <row r="11" spans="2:26" x14ac:dyDescent="0.25">
      <c r="B11" s="129" t="s">
        <v>352</v>
      </c>
      <c r="C11" s="69" t="s">
        <v>311</v>
      </c>
      <c r="D11" s="108" t="s">
        <v>88</v>
      </c>
      <c r="E11" s="69" t="s">
        <v>365</v>
      </c>
      <c r="F11" s="108" t="s">
        <v>331</v>
      </c>
      <c r="G11" s="69" t="s">
        <v>334</v>
      </c>
      <c r="H11" s="109"/>
      <c r="I11" s="69" t="s">
        <v>724</v>
      </c>
      <c r="J11" s="69" t="s">
        <v>758</v>
      </c>
      <c r="L11" s="69" t="s">
        <v>354</v>
      </c>
      <c r="M11" s="69"/>
      <c r="N11" s="69"/>
      <c r="O11" s="69"/>
      <c r="P11" s="69"/>
      <c r="Q11" s="69"/>
      <c r="R11" s="69"/>
      <c r="S11" s="69"/>
      <c r="T11" s="69"/>
      <c r="U11" s="69"/>
      <c r="V11" s="69"/>
      <c r="W11" s="69" t="s">
        <v>550</v>
      </c>
    </row>
    <row r="12" spans="2:26" ht="15" customHeight="1" x14ac:dyDescent="0.25">
      <c r="B12" s="129" t="s">
        <v>348</v>
      </c>
      <c r="C12" s="69" t="s">
        <v>303</v>
      </c>
      <c r="D12" s="108" t="s">
        <v>88</v>
      </c>
      <c r="E12" s="69" t="s">
        <v>703</v>
      </c>
      <c r="F12" s="108" t="s">
        <v>329</v>
      </c>
      <c r="G12" s="69" t="s">
        <v>330</v>
      </c>
      <c r="H12" s="109" t="s">
        <v>88</v>
      </c>
      <c r="I12" s="69" t="s">
        <v>725</v>
      </c>
      <c r="J12" s="69" t="s">
        <v>758</v>
      </c>
      <c r="L12" s="68" t="s">
        <v>742</v>
      </c>
      <c r="M12" s="69"/>
      <c r="N12" s="69"/>
      <c r="O12" s="69"/>
      <c r="P12" s="69"/>
      <c r="Q12" s="69"/>
      <c r="R12" s="69"/>
      <c r="S12" s="69"/>
      <c r="T12" s="69"/>
      <c r="U12" s="69"/>
      <c r="V12" s="69"/>
      <c r="W12" s="69" t="s">
        <v>552</v>
      </c>
    </row>
    <row r="13" spans="2:26" x14ac:dyDescent="0.25">
      <c r="B13" s="129" t="s">
        <v>348</v>
      </c>
      <c r="C13" s="69" t="s">
        <v>312</v>
      </c>
      <c r="D13" s="108" t="s">
        <v>332</v>
      </c>
      <c r="E13" s="69" t="s">
        <v>757</v>
      </c>
      <c r="F13" s="108" t="s">
        <v>331</v>
      </c>
      <c r="G13" s="69" t="s">
        <v>88</v>
      </c>
      <c r="H13" s="109"/>
      <c r="I13" s="69" t="s">
        <v>726</v>
      </c>
      <c r="J13" s="69" t="s">
        <v>758</v>
      </c>
      <c r="L13" s="68" t="s">
        <v>355</v>
      </c>
      <c r="M13" s="69"/>
      <c r="N13" s="69"/>
      <c r="O13" s="69"/>
      <c r="P13" s="69"/>
      <c r="Q13" s="69"/>
      <c r="R13" s="69"/>
      <c r="S13" s="69"/>
      <c r="T13" s="69"/>
      <c r="U13" s="69"/>
      <c r="V13" s="69"/>
      <c r="W13" s="69" t="s">
        <v>554</v>
      </c>
    </row>
    <row r="14" spans="2:26" x14ac:dyDescent="0.25">
      <c r="B14" s="129" t="s">
        <v>348</v>
      </c>
      <c r="C14" s="69" t="s">
        <v>313</v>
      </c>
      <c r="D14" s="108" t="s">
        <v>336</v>
      </c>
      <c r="E14" s="69" t="s">
        <v>337</v>
      </c>
      <c r="F14" s="108" t="s">
        <v>331</v>
      </c>
      <c r="G14" s="69" t="s">
        <v>88</v>
      </c>
      <c r="H14" s="109"/>
      <c r="I14" s="69" t="s">
        <v>727</v>
      </c>
      <c r="J14" s="69" t="s">
        <v>758</v>
      </c>
      <c r="L14" s="184" t="s">
        <v>356</v>
      </c>
      <c r="M14" s="69"/>
      <c r="N14" s="69"/>
      <c r="O14" s="69"/>
      <c r="P14" s="69"/>
      <c r="Q14" s="69"/>
      <c r="R14" s="69"/>
      <c r="S14" s="69"/>
      <c r="T14" s="69"/>
      <c r="U14" s="69"/>
      <c r="V14" s="69"/>
      <c r="W14" s="69" t="s">
        <v>680</v>
      </c>
    </row>
    <row r="15" spans="2:26" x14ac:dyDescent="0.25">
      <c r="B15" s="129" t="s">
        <v>348</v>
      </c>
      <c r="C15" s="69" t="s">
        <v>314</v>
      </c>
      <c r="D15" s="108" t="s">
        <v>395</v>
      </c>
      <c r="E15" s="69" t="s">
        <v>703</v>
      </c>
      <c r="F15" s="108" t="s">
        <v>329</v>
      </c>
      <c r="G15" s="69" t="s">
        <v>88</v>
      </c>
      <c r="H15" s="109"/>
      <c r="I15" s="69" t="s">
        <v>314</v>
      </c>
      <c r="J15" s="69" t="s">
        <v>758</v>
      </c>
      <c r="L15" s="321"/>
      <c r="M15" s="69"/>
      <c r="N15" s="69"/>
      <c r="O15" s="69"/>
      <c r="P15" s="69"/>
      <c r="Q15" s="69"/>
      <c r="R15" s="69"/>
      <c r="S15" s="69"/>
      <c r="T15" s="69"/>
      <c r="U15" s="69"/>
      <c r="V15" s="69"/>
      <c r="W15" s="69" t="s">
        <v>681</v>
      </c>
    </row>
    <row r="16" spans="2:26" ht="15" customHeight="1" x14ac:dyDescent="0.25">
      <c r="B16" s="129" t="s">
        <v>751</v>
      </c>
      <c r="C16" s="69" t="s">
        <v>754</v>
      </c>
      <c r="D16" s="108" t="s">
        <v>88</v>
      </c>
      <c r="E16" s="69" t="s">
        <v>89</v>
      </c>
      <c r="F16" s="108" t="s">
        <v>331</v>
      </c>
      <c r="G16" s="69" t="s">
        <v>89</v>
      </c>
      <c r="H16" s="109" t="s">
        <v>88</v>
      </c>
      <c r="I16" s="69" t="s">
        <v>754</v>
      </c>
      <c r="J16" s="69" t="s">
        <v>758</v>
      </c>
      <c r="M16" s="69"/>
      <c r="N16" s="69"/>
      <c r="O16" s="69"/>
      <c r="P16" s="69"/>
      <c r="Q16" s="69"/>
      <c r="R16" s="69"/>
      <c r="S16" s="69"/>
      <c r="T16" s="69"/>
      <c r="U16" s="69"/>
      <c r="V16" s="69"/>
      <c r="W16" s="69"/>
    </row>
    <row r="17" spans="2:23" x14ac:dyDescent="0.25">
      <c r="B17" s="129" t="s">
        <v>349</v>
      </c>
      <c r="C17" s="69" t="s">
        <v>304</v>
      </c>
      <c r="D17" s="108" t="s">
        <v>88</v>
      </c>
      <c r="E17" s="69" t="s">
        <v>89</v>
      </c>
      <c r="F17" s="108" t="s">
        <v>331</v>
      </c>
      <c r="G17" s="69" t="s">
        <v>88</v>
      </c>
      <c r="H17" s="109" t="s">
        <v>88</v>
      </c>
      <c r="I17" s="69" t="s">
        <v>728</v>
      </c>
      <c r="J17" s="69" t="s">
        <v>758</v>
      </c>
      <c r="M17" s="69"/>
      <c r="N17" s="69"/>
      <c r="O17" s="69"/>
      <c r="P17" s="69"/>
      <c r="Q17" s="69"/>
      <c r="R17" s="69"/>
      <c r="S17" s="69"/>
      <c r="T17" s="69"/>
      <c r="U17" s="69"/>
      <c r="V17" s="69"/>
      <c r="W17" s="69"/>
    </row>
    <row r="18" spans="2:23" x14ac:dyDescent="0.25">
      <c r="B18" s="129" t="s">
        <v>349</v>
      </c>
      <c r="C18" s="69" t="s">
        <v>531</v>
      </c>
      <c r="D18" s="108" t="s">
        <v>88</v>
      </c>
      <c r="E18" s="69" t="s">
        <v>89</v>
      </c>
      <c r="F18" s="108" t="s">
        <v>331</v>
      </c>
      <c r="G18" s="69" t="s">
        <v>368</v>
      </c>
      <c r="H18" s="109" t="s">
        <v>88</v>
      </c>
      <c r="I18" s="69" t="s">
        <v>531</v>
      </c>
      <c r="J18" s="69" t="s">
        <v>755</v>
      </c>
      <c r="M18" s="69"/>
      <c r="N18" s="69"/>
      <c r="O18" s="69"/>
      <c r="P18" s="69"/>
      <c r="Q18" s="69"/>
      <c r="R18" s="69"/>
      <c r="S18" s="69"/>
      <c r="T18" s="69"/>
      <c r="U18" s="69"/>
      <c r="V18" s="69"/>
      <c r="W18" s="69"/>
    </row>
    <row r="19" spans="2:23" x14ac:dyDescent="0.25">
      <c r="B19" s="129" t="s">
        <v>353</v>
      </c>
      <c r="C19" s="69" t="s">
        <v>315</v>
      </c>
      <c r="D19" s="108" t="s">
        <v>88</v>
      </c>
      <c r="E19" s="69" t="s">
        <v>89</v>
      </c>
      <c r="F19" s="108" t="s">
        <v>331</v>
      </c>
      <c r="G19" s="69" t="s">
        <v>334</v>
      </c>
      <c r="H19" s="109" t="s">
        <v>88</v>
      </c>
      <c r="I19" s="69" t="s">
        <v>729</v>
      </c>
      <c r="J19" s="69" t="s">
        <v>758</v>
      </c>
      <c r="M19" s="69"/>
      <c r="N19" s="69"/>
      <c r="O19" s="69"/>
      <c r="P19" s="69"/>
      <c r="Q19" s="69"/>
      <c r="R19" s="69"/>
      <c r="S19" s="69"/>
      <c r="T19" s="69"/>
      <c r="U19" s="69"/>
      <c r="V19" s="69"/>
      <c r="W19" s="69"/>
    </row>
    <row r="20" spans="2:23" x14ac:dyDescent="0.25">
      <c r="B20" s="129" t="s">
        <v>353</v>
      </c>
      <c r="C20" s="69" t="s">
        <v>316</v>
      </c>
      <c r="D20" s="108" t="s">
        <v>88</v>
      </c>
      <c r="E20" s="69" t="s">
        <v>89</v>
      </c>
      <c r="F20" s="108" t="s">
        <v>331</v>
      </c>
      <c r="G20" s="69" t="s">
        <v>88</v>
      </c>
      <c r="H20" s="109" t="s">
        <v>88</v>
      </c>
      <c r="I20" s="69" t="s">
        <v>730</v>
      </c>
      <c r="J20" s="69" t="s">
        <v>758</v>
      </c>
      <c r="M20" s="69"/>
      <c r="N20" s="69"/>
      <c r="O20" s="69"/>
      <c r="P20" s="69"/>
      <c r="Q20" s="69"/>
      <c r="R20" s="69"/>
      <c r="S20" s="69"/>
      <c r="T20" s="69"/>
      <c r="U20" s="69"/>
      <c r="V20" s="69"/>
      <c r="W20" s="69"/>
    </row>
    <row r="21" spans="2:23" x14ac:dyDescent="0.25">
      <c r="B21" s="129" t="s">
        <v>353</v>
      </c>
      <c r="C21" s="69" t="s">
        <v>317</v>
      </c>
      <c r="D21" s="108" t="s">
        <v>338</v>
      </c>
      <c r="E21" s="69" t="s">
        <v>89</v>
      </c>
      <c r="F21" s="108" t="s">
        <v>331</v>
      </c>
      <c r="G21" s="69" t="s">
        <v>334</v>
      </c>
      <c r="H21" s="109" t="s">
        <v>88</v>
      </c>
      <c r="I21" s="69" t="s">
        <v>719</v>
      </c>
      <c r="J21" s="69" t="s">
        <v>758</v>
      </c>
      <c r="M21" s="69"/>
      <c r="N21" s="69"/>
      <c r="O21" s="69"/>
      <c r="P21" s="69"/>
      <c r="Q21" s="69"/>
      <c r="R21" s="69"/>
      <c r="S21" s="69"/>
      <c r="T21" s="69"/>
      <c r="U21" s="69"/>
      <c r="V21" s="69"/>
      <c r="W21" s="69"/>
    </row>
    <row r="22" spans="2:23" x14ac:dyDescent="0.25">
      <c r="B22" s="129" t="s">
        <v>354</v>
      </c>
      <c r="C22" s="69" t="s">
        <v>318</v>
      </c>
      <c r="D22" s="108" t="s">
        <v>339</v>
      </c>
      <c r="E22" s="69" t="s">
        <v>89</v>
      </c>
      <c r="F22" s="108" t="s">
        <v>331</v>
      </c>
      <c r="G22" s="69" t="s">
        <v>334</v>
      </c>
      <c r="H22" s="109"/>
      <c r="I22" s="69" t="s">
        <v>318</v>
      </c>
      <c r="J22" s="69" t="s">
        <v>758</v>
      </c>
      <c r="M22" s="70"/>
      <c r="N22" s="70"/>
      <c r="O22" s="70"/>
      <c r="P22" s="70"/>
      <c r="Q22" s="70"/>
      <c r="R22" s="70"/>
      <c r="S22" s="70"/>
      <c r="T22" s="70"/>
      <c r="U22" s="70"/>
      <c r="V22" s="70"/>
      <c r="W22" s="70"/>
    </row>
    <row r="23" spans="2:23" x14ac:dyDescent="0.25">
      <c r="B23" s="129" t="s">
        <v>354</v>
      </c>
      <c r="C23" s="69" t="s">
        <v>319</v>
      </c>
      <c r="D23" s="108" t="s">
        <v>340</v>
      </c>
      <c r="E23" s="69" t="s">
        <v>89</v>
      </c>
      <c r="F23" s="108" t="s">
        <v>331</v>
      </c>
      <c r="G23" s="69" t="s">
        <v>88</v>
      </c>
      <c r="H23" s="109" t="s">
        <v>88</v>
      </c>
      <c r="I23" s="69" t="s">
        <v>731</v>
      </c>
      <c r="J23" s="69" t="s">
        <v>758</v>
      </c>
    </row>
    <row r="24" spans="2:23" x14ac:dyDescent="0.25">
      <c r="B24" s="129" t="s">
        <v>354</v>
      </c>
      <c r="C24" s="69" t="s">
        <v>545</v>
      </c>
      <c r="D24" s="108" t="s">
        <v>88</v>
      </c>
      <c r="E24" s="69" t="s">
        <v>89</v>
      </c>
      <c r="F24" s="108" t="s">
        <v>331</v>
      </c>
      <c r="G24" s="69" t="s">
        <v>346</v>
      </c>
      <c r="H24" s="109" t="s">
        <v>88</v>
      </c>
      <c r="I24" s="69" t="s">
        <v>732</v>
      </c>
      <c r="J24" s="69" t="s">
        <v>758</v>
      </c>
    </row>
    <row r="25" spans="2:23" x14ac:dyDescent="0.25">
      <c r="B25" s="129" t="s">
        <v>354</v>
      </c>
      <c r="C25" s="69" t="s">
        <v>546</v>
      </c>
      <c r="D25" s="108" t="s">
        <v>760</v>
      </c>
      <c r="E25" s="69" t="s">
        <v>89</v>
      </c>
      <c r="F25" s="108" t="s">
        <v>331</v>
      </c>
      <c r="G25" s="69" t="s">
        <v>346</v>
      </c>
      <c r="H25" s="109" t="s">
        <v>88</v>
      </c>
      <c r="I25" s="69" t="s">
        <v>733</v>
      </c>
      <c r="J25" s="69" t="s">
        <v>758</v>
      </c>
    </row>
    <row r="26" spans="2:23" x14ac:dyDescent="0.25">
      <c r="B26" s="129" t="s">
        <v>742</v>
      </c>
      <c r="C26" s="69" t="s">
        <v>743</v>
      </c>
      <c r="D26" s="108" t="s">
        <v>88</v>
      </c>
      <c r="E26" s="69" t="s">
        <v>89</v>
      </c>
      <c r="F26" s="108" t="s">
        <v>331</v>
      </c>
      <c r="G26" s="69" t="s">
        <v>745</v>
      </c>
      <c r="H26" s="109"/>
      <c r="I26" s="69" t="s">
        <v>314</v>
      </c>
      <c r="J26" s="69" t="s">
        <v>758</v>
      </c>
    </row>
    <row r="27" spans="2:23" x14ac:dyDescent="0.25">
      <c r="B27" s="129" t="s">
        <v>742</v>
      </c>
      <c r="C27" s="69" t="s">
        <v>744</v>
      </c>
      <c r="D27" s="108" t="s">
        <v>88</v>
      </c>
      <c r="E27" s="69" t="s">
        <v>89</v>
      </c>
      <c r="F27" s="108" t="s">
        <v>331</v>
      </c>
      <c r="G27" s="69" t="s">
        <v>330</v>
      </c>
      <c r="H27" s="109" t="s">
        <v>88</v>
      </c>
      <c r="I27" s="69" t="s">
        <v>314</v>
      </c>
      <c r="J27" s="69" t="s">
        <v>758</v>
      </c>
    </row>
    <row r="28" spans="2:23" x14ac:dyDescent="0.25">
      <c r="B28" s="129" t="s">
        <v>355</v>
      </c>
      <c r="C28" s="69" t="s">
        <v>531</v>
      </c>
      <c r="D28" s="108" t="s">
        <v>88</v>
      </c>
      <c r="E28" s="69" t="s">
        <v>89</v>
      </c>
      <c r="F28" s="108" t="s">
        <v>331</v>
      </c>
      <c r="G28" s="69" t="s">
        <v>368</v>
      </c>
      <c r="H28" s="109" t="s">
        <v>88</v>
      </c>
      <c r="I28" s="69" t="s">
        <v>531</v>
      </c>
      <c r="J28" s="69" t="s">
        <v>755</v>
      </c>
    </row>
    <row r="29" spans="2:23" x14ac:dyDescent="0.25">
      <c r="B29" s="129" t="s">
        <v>355</v>
      </c>
      <c r="C29" s="69" t="s">
        <v>320</v>
      </c>
      <c r="D29" s="108" t="s">
        <v>88</v>
      </c>
      <c r="E29" s="69" t="s">
        <v>363</v>
      </c>
      <c r="F29" s="108" t="s">
        <v>331</v>
      </c>
      <c r="G29" s="69" t="s">
        <v>88</v>
      </c>
      <c r="H29" s="109"/>
      <c r="I29" s="69" t="s">
        <v>734</v>
      </c>
      <c r="J29" s="69" t="s">
        <v>758</v>
      </c>
    </row>
    <row r="30" spans="2:23" x14ac:dyDescent="0.25">
      <c r="B30" s="129" t="s">
        <v>355</v>
      </c>
      <c r="C30" s="69" t="s">
        <v>321</v>
      </c>
      <c r="D30" s="108" t="s">
        <v>341</v>
      </c>
      <c r="E30" s="69" t="s">
        <v>89</v>
      </c>
      <c r="F30" s="108" t="s">
        <v>331</v>
      </c>
      <c r="G30" s="69" t="s">
        <v>88</v>
      </c>
      <c r="H30" s="109"/>
      <c r="I30" s="69" t="s">
        <v>736</v>
      </c>
      <c r="J30" s="69" t="s">
        <v>758</v>
      </c>
    </row>
    <row r="31" spans="2:23" x14ac:dyDescent="0.25">
      <c r="B31" s="129" t="s">
        <v>355</v>
      </c>
      <c r="C31" s="69" t="s">
        <v>322</v>
      </c>
      <c r="D31" s="108" t="s">
        <v>88</v>
      </c>
      <c r="E31" s="69" t="s">
        <v>89</v>
      </c>
      <c r="F31" s="108" t="s">
        <v>331</v>
      </c>
      <c r="G31" s="69" t="s">
        <v>342</v>
      </c>
      <c r="H31" s="109" t="s">
        <v>88</v>
      </c>
      <c r="I31" s="69" t="s">
        <v>735</v>
      </c>
      <c r="J31" s="69" t="s">
        <v>758</v>
      </c>
    </row>
    <row r="32" spans="2:23" x14ac:dyDescent="0.25">
      <c r="B32" s="129" t="s">
        <v>355</v>
      </c>
      <c r="C32" s="69" t="s">
        <v>752</v>
      </c>
      <c r="D32" s="108" t="s">
        <v>88</v>
      </c>
      <c r="E32" s="69" t="s">
        <v>89</v>
      </c>
      <c r="F32" s="108" t="s">
        <v>331</v>
      </c>
      <c r="G32" s="69" t="s">
        <v>330</v>
      </c>
      <c r="H32" s="109" t="s">
        <v>88</v>
      </c>
      <c r="I32" s="69" t="s">
        <v>752</v>
      </c>
      <c r="J32" s="69" t="s">
        <v>753</v>
      </c>
    </row>
    <row r="33" spans="2:10" x14ac:dyDescent="0.25">
      <c r="B33" s="129" t="s">
        <v>356</v>
      </c>
      <c r="C33" s="69" t="s">
        <v>323</v>
      </c>
      <c r="D33" s="108" t="s">
        <v>88</v>
      </c>
      <c r="E33" s="69" t="s">
        <v>88</v>
      </c>
      <c r="F33" s="108" t="s">
        <v>329</v>
      </c>
      <c r="G33" s="69" t="s">
        <v>343</v>
      </c>
      <c r="H33" s="109"/>
      <c r="I33" s="69" t="s">
        <v>323</v>
      </c>
      <c r="J33" s="69" t="s">
        <v>758</v>
      </c>
    </row>
    <row r="34" spans="2:10" x14ac:dyDescent="0.25">
      <c r="B34" s="129" t="s">
        <v>356</v>
      </c>
      <c r="C34" s="69" t="s">
        <v>324</v>
      </c>
      <c r="D34" s="108" t="s">
        <v>344</v>
      </c>
      <c r="E34" s="69" t="s">
        <v>89</v>
      </c>
      <c r="F34" s="108" t="s">
        <v>331</v>
      </c>
      <c r="G34" s="69" t="s">
        <v>345</v>
      </c>
      <c r="H34" s="109" t="s">
        <v>88</v>
      </c>
      <c r="I34" s="69" t="s">
        <v>324</v>
      </c>
      <c r="J34" s="69" t="s">
        <v>758</v>
      </c>
    </row>
    <row r="35" spans="2:10" x14ac:dyDescent="0.25">
      <c r="B35" s="129" t="s">
        <v>356</v>
      </c>
      <c r="C35" s="69" t="s">
        <v>325</v>
      </c>
      <c r="D35" s="108" t="s">
        <v>88</v>
      </c>
      <c r="E35" s="69" t="s">
        <v>88</v>
      </c>
      <c r="F35" s="108" t="s">
        <v>329</v>
      </c>
      <c r="G35" s="69" t="s">
        <v>88</v>
      </c>
      <c r="H35" s="109"/>
      <c r="I35" s="69" t="s">
        <v>325</v>
      </c>
      <c r="J35" s="69" t="s">
        <v>758</v>
      </c>
    </row>
    <row r="36" spans="2:10" x14ac:dyDescent="0.25">
      <c r="B36" s="129" t="s">
        <v>356</v>
      </c>
      <c r="C36" s="69" t="s">
        <v>326</v>
      </c>
      <c r="D36" s="108" t="s">
        <v>88</v>
      </c>
      <c r="E36" s="69" t="s">
        <v>89</v>
      </c>
      <c r="F36" s="108" t="s">
        <v>331</v>
      </c>
      <c r="G36" s="69" t="s">
        <v>346</v>
      </c>
      <c r="H36" s="109"/>
      <c r="I36" s="69" t="s">
        <v>737</v>
      </c>
      <c r="J36" s="69" t="s">
        <v>758</v>
      </c>
    </row>
    <row r="37" spans="2:10" x14ac:dyDescent="0.25">
      <c r="B37" s="129" t="s">
        <v>356</v>
      </c>
      <c r="C37" s="69" t="s">
        <v>397</v>
      </c>
      <c r="D37" s="108" t="s">
        <v>347</v>
      </c>
      <c r="E37" s="69" t="s">
        <v>89</v>
      </c>
      <c r="F37" s="108" t="s">
        <v>331</v>
      </c>
      <c r="G37" s="69" t="s">
        <v>346</v>
      </c>
      <c r="H37" s="109"/>
      <c r="I37" s="69" t="s">
        <v>720</v>
      </c>
      <c r="J37" s="69" t="s">
        <v>758</v>
      </c>
    </row>
    <row r="38" spans="2:10" x14ac:dyDescent="0.25">
      <c r="B38" s="129" t="s">
        <v>356</v>
      </c>
      <c r="C38" s="69" t="s">
        <v>327</v>
      </c>
      <c r="D38" s="108" t="s">
        <v>88</v>
      </c>
      <c r="E38" s="69" t="s">
        <v>89</v>
      </c>
      <c r="F38" s="108" t="s">
        <v>331</v>
      </c>
      <c r="G38" s="69" t="s">
        <v>88</v>
      </c>
      <c r="H38" s="109" t="s">
        <v>88</v>
      </c>
      <c r="I38" s="69" t="s">
        <v>327</v>
      </c>
      <c r="J38" s="69" t="s">
        <v>758</v>
      </c>
    </row>
    <row r="39" spans="2:10" x14ac:dyDescent="0.25">
      <c r="B39" s="129" t="s">
        <v>356</v>
      </c>
      <c r="C39" s="69" t="s">
        <v>328</v>
      </c>
      <c r="D39" s="108" t="s">
        <v>88</v>
      </c>
      <c r="E39" s="69" t="s">
        <v>88</v>
      </c>
      <c r="F39" s="108" t="s">
        <v>331</v>
      </c>
      <c r="G39" s="69" t="s">
        <v>346</v>
      </c>
      <c r="H39" s="109" t="s">
        <v>89</v>
      </c>
      <c r="I39" s="69" t="s">
        <v>738</v>
      </c>
      <c r="J39" s="69" t="s">
        <v>758</v>
      </c>
    </row>
    <row r="40" spans="2:10" x14ac:dyDescent="0.25">
      <c r="B40" s="129" t="s">
        <v>356</v>
      </c>
      <c r="C40" s="69" t="s">
        <v>547</v>
      </c>
      <c r="D40" s="108" t="s">
        <v>548</v>
      </c>
      <c r="E40" s="69" t="s">
        <v>89</v>
      </c>
      <c r="F40" s="108" t="s">
        <v>331</v>
      </c>
      <c r="G40" s="69" t="s">
        <v>549</v>
      </c>
      <c r="H40" s="109" t="s">
        <v>88</v>
      </c>
      <c r="I40" s="69" t="s">
        <v>547</v>
      </c>
      <c r="J40" s="69" t="s">
        <v>758</v>
      </c>
    </row>
    <row r="41" spans="2:10" x14ac:dyDescent="0.25">
      <c r="B41" s="129" t="s">
        <v>356</v>
      </c>
      <c r="C41" s="69" t="s">
        <v>550</v>
      </c>
      <c r="D41" s="108" t="s">
        <v>88</v>
      </c>
      <c r="E41" s="69" t="s">
        <v>89</v>
      </c>
      <c r="F41" s="108" t="s">
        <v>331</v>
      </c>
      <c r="G41" s="69" t="s">
        <v>551</v>
      </c>
      <c r="H41" s="109" t="s">
        <v>88</v>
      </c>
      <c r="I41" s="69" t="s">
        <v>739</v>
      </c>
      <c r="J41" s="69" t="s">
        <v>758</v>
      </c>
    </row>
    <row r="42" spans="2:10" x14ac:dyDescent="0.25">
      <c r="B42" s="129" t="s">
        <v>356</v>
      </c>
      <c r="C42" s="69" t="s">
        <v>552</v>
      </c>
      <c r="D42" s="108" t="s">
        <v>88</v>
      </c>
      <c r="E42" s="69" t="s">
        <v>553</v>
      </c>
      <c r="F42" s="108" t="s">
        <v>331</v>
      </c>
      <c r="G42" s="69" t="s">
        <v>346</v>
      </c>
      <c r="H42" s="109" t="s">
        <v>88</v>
      </c>
      <c r="I42" s="69" t="s">
        <v>552</v>
      </c>
      <c r="J42" s="69" t="s">
        <v>758</v>
      </c>
    </row>
    <row r="43" spans="2:10" x14ac:dyDescent="0.25">
      <c r="B43" s="129" t="s">
        <v>356</v>
      </c>
      <c r="C43" s="69" t="s">
        <v>554</v>
      </c>
      <c r="D43" s="108" t="s">
        <v>88</v>
      </c>
      <c r="E43" s="69" t="s">
        <v>89</v>
      </c>
      <c r="F43" s="108" t="s">
        <v>331</v>
      </c>
      <c r="G43" s="69" t="s">
        <v>346</v>
      </c>
      <c r="H43" s="109" t="s">
        <v>88</v>
      </c>
      <c r="I43" s="69" t="s">
        <v>740</v>
      </c>
      <c r="J43" s="69" t="s">
        <v>758</v>
      </c>
    </row>
    <row r="44" spans="2:10" x14ac:dyDescent="0.25">
      <c r="B44" s="129" t="s">
        <v>356</v>
      </c>
      <c r="C44" s="69" t="s">
        <v>679</v>
      </c>
      <c r="D44" s="108" t="s">
        <v>88</v>
      </c>
      <c r="E44" s="69" t="s">
        <v>89</v>
      </c>
      <c r="F44" s="108" t="s">
        <v>331</v>
      </c>
      <c r="G44" s="69" t="s">
        <v>330</v>
      </c>
      <c r="H44" s="109" t="s">
        <v>88</v>
      </c>
      <c r="I44" s="69" t="s">
        <v>679</v>
      </c>
      <c r="J44" s="69" t="s">
        <v>758</v>
      </c>
    </row>
    <row r="45" spans="2:10" x14ac:dyDescent="0.25">
      <c r="B45" s="129" t="s">
        <v>356</v>
      </c>
      <c r="C45" s="69" t="s">
        <v>681</v>
      </c>
      <c r="D45" s="108" t="s">
        <v>88</v>
      </c>
      <c r="E45" s="69" t="s">
        <v>89</v>
      </c>
      <c r="F45" s="108" t="s">
        <v>331</v>
      </c>
      <c r="G45" s="69" t="s">
        <v>346</v>
      </c>
      <c r="H45" s="109" t="s">
        <v>88</v>
      </c>
      <c r="I45" s="69" t="s">
        <v>741</v>
      </c>
      <c r="J45" s="69" t="s">
        <v>758</v>
      </c>
    </row>
    <row r="46" spans="2:10" x14ac:dyDescent="0.25">
      <c r="B46" s="129"/>
      <c r="C46" s="69"/>
      <c r="D46" s="108"/>
      <c r="E46" s="69"/>
      <c r="F46" s="108"/>
      <c r="G46" s="69"/>
      <c r="H46" s="109"/>
      <c r="I46" s="69"/>
      <c r="J46" s="69"/>
    </row>
    <row r="47" spans="2:10" x14ac:dyDescent="0.25">
      <c r="B47" s="129"/>
      <c r="C47" s="69"/>
      <c r="D47" s="108"/>
      <c r="E47" s="69"/>
      <c r="F47" s="108"/>
      <c r="G47" s="69"/>
      <c r="H47" s="109"/>
      <c r="I47" s="69"/>
      <c r="J47" s="69"/>
    </row>
    <row r="48" spans="2:10" x14ac:dyDescent="0.25">
      <c r="B48" s="129"/>
      <c r="C48" s="69"/>
      <c r="D48" s="108"/>
      <c r="E48" s="69"/>
      <c r="F48" s="108"/>
      <c r="G48" s="69"/>
      <c r="H48" s="109"/>
      <c r="I48" s="69"/>
      <c r="J48" s="69"/>
    </row>
    <row r="49" spans="2:10" x14ac:dyDescent="0.25">
      <c r="B49" s="129"/>
      <c r="C49" s="69"/>
      <c r="D49" s="108"/>
      <c r="E49" s="69"/>
      <c r="F49" s="108"/>
      <c r="G49" s="69"/>
      <c r="H49" s="109"/>
      <c r="I49" s="69"/>
      <c r="J49" s="69"/>
    </row>
    <row r="50" spans="2:10" x14ac:dyDescent="0.25">
      <c r="B50" s="129"/>
      <c r="C50" s="69"/>
      <c r="D50" s="108"/>
      <c r="E50" s="69"/>
      <c r="F50" s="108"/>
      <c r="G50" s="69"/>
      <c r="H50" s="109"/>
      <c r="I50" s="69"/>
      <c r="J50" s="69"/>
    </row>
    <row r="51" spans="2:10" x14ac:dyDescent="0.25">
      <c r="B51" s="129"/>
      <c r="C51" s="69"/>
      <c r="D51" s="108"/>
      <c r="E51" s="69"/>
      <c r="F51" s="108"/>
      <c r="G51" s="69"/>
      <c r="H51" s="109"/>
      <c r="I51" s="69"/>
      <c r="J51" s="69"/>
    </row>
    <row r="52" spans="2:10" x14ac:dyDescent="0.25">
      <c r="B52" s="129"/>
      <c r="C52" s="69"/>
      <c r="D52" s="108"/>
      <c r="E52" s="69"/>
      <c r="F52" s="108"/>
      <c r="G52" s="69"/>
      <c r="H52" s="109"/>
      <c r="I52" s="69"/>
      <c r="J52" s="69"/>
    </row>
    <row r="53" spans="2:10" x14ac:dyDescent="0.25">
      <c r="B53" s="129"/>
      <c r="C53" s="69"/>
      <c r="D53" s="108"/>
      <c r="E53" s="69"/>
      <c r="F53" s="108"/>
      <c r="G53" s="69"/>
      <c r="H53" s="109"/>
      <c r="I53" s="69"/>
      <c r="J53" s="69"/>
    </row>
    <row r="54" spans="2:10" x14ac:dyDescent="0.25">
      <c r="B54" s="129"/>
      <c r="C54" s="69"/>
      <c r="D54" s="108"/>
      <c r="E54" s="69"/>
      <c r="F54" s="108"/>
      <c r="G54" s="69"/>
      <c r="H54" s="109"/>
      <c r="I54" s="69"/>
      <c r="J54" s="69"/>
    </row>
    <row r="55" spans="2:10" x14ac:dyDescent="0.25">
      <c r="B55" s="129"/>
      <c r="C55" s="69"/>
      <c r="D55" s="108"/>
      <c r="E55" s="69"/>
      <c r="F55" s="108"/>
      <c r="G55" s="69"/>
      <c r="H55" s="109"/>
      <c r="I55" s="69"/>
      <c r="J55" s="69"/>
    </row>
    <row r="56" spans="2:10" x14ac:dyDescent="0.25">
      <c r="B56" s="129"/>
      <c r="C56" s="69"/>
      <c r="D56" s="108"/>
      <c r="E56" s="69"/>
      <c r="F56" s="108"/>
      <c r="G56" s="69"/>
      <c r="H56" s="109"/>
      <c r="I56" s="69"/>
      <c r="J56" s="69"/>
    </row>
    <row r="57" spans="2:10" x14ac:dyDescent="0.25">
      <c r="B57" s="129"/>
      <c r="C57" s="69"/>
      <c r="D57" s="108"/>
      <c r="E57" s="69"/>
      <c r="F57" s="108"/>
      <c r="G57" s="69"/>
      <c r="H57" s="109"/>
      <c r="I57" s="69"/>
      <c r="J57" s="69"/>
    </row>
    <row r="58" spans="2:10" x14ac:dyDescent="0.25">
      <c r="B58" s="129"/>
      <c r="C58" s="69"/>
      <c r="D58" s="108"/>
      <c r="E58" s="69"/>
      <c r="F58" s="108"/>
      <c r="G58" s="69"/>
      <c r="H58" s="109"/>
      <c r="I58" s="69"/>
      <c r="J58" s="69"/>
    </row>
    <row r="59" spans="2:10" x14ac:dyDescent="0.25">
      <c r="B59" s="129"/>
      <c r="C59" s="69"/>
      <c r="D59" s="108"/>
      <c r="E59" s="69"/>
      <c r="F59" s="108"/>
      <c r="G59" s="69"/>
      <c r="H59" s="109"/>
      <c r="I59" s="69"/>
      <c r="J59" s="69"/>
    </row>
    <row r="60" spans="2:10" x14ac:dyDescent="0.25">
      <c r="B60" s="129"/>
      <c r="C60" s="69"/>
      <c r="D60" s="108"/>
      <c r="E60" s="69"/>
      <c r="F60" s="108"/>
      <c r="G60" s="69"/>
      <c r="H60" s="109"/>
      <c r="I60" s="69"/>
      <c r="J60" s="69"/>
    </row>
    <row r="61" spans="2:10" x14ac:dyDescent="0.25">
      <c r="B61" s="129"/>
      <c r="C61" s="69"/>
      <c r="D61" s="108"/>
      <c r="E61" s="69"/>
      <c r="F61" s="108"/>
      <c r="G61" s="69"/>
      <c r="H61" s="109"/>
      <c r="I61" s="69"/>
      <c r="J61" s="69"/>
    </row>
    <row r="62" spans="2:10" x14ac:dyDescent="0.25">
      <c r="B62" s="129"/>
      <c r="C62" s="69"/>
      <c r="D62" s="108"/>
      <c r="E62" s="69"/>
      <c r="F62" s="108"/>
      <c r="G62" s="69"/>
      <c r="H62" s="109"/>
      <c r="I62" s="69"/>
      <c r="J62" s="69"/>
    </row>
    <row r="63" spans="2:10" x14ac:dyDescent="0.25">
      <c r="B63" s="129"/>
      <c r="C63" s="69"/>
      <c r="D63" s="108"/>
      <c r="E63" s="69"/>
      <c r="F63" s="108"/>
      <c r="G63" s="69"/>
      <c r="H63" s="109"/>
      <c r="I63" s="69"/>
      <c r="J63" s="69"/>
    </row>
    <row r="64" spans="2:10" x14ac:dyDescent="0.25">
      <c r="B64" s="129"/>
      <c r="C64" s="69"/>
      <c r="D64" s="108"/>
      <c r="E64" s="69"/>
      <c r="F64" s="108"/>
      <c r="G64" s="69"/>
      <c r="H64" s="109"/>
      <c r="I64" s="69"/>
      <c r="J64" s="69"/>
    </row>
    <row r="65" spans="2:10" x14ac:dyDescent="0.25">
      <c r="B65" s="129"/>
      <c r="C65" s="69"/>
      <c r="D65" s="108"/>
      <c r="E65" s="69"/>
      <c r="F65" s="108"/>
      <c r="G65" s="69"/>
      <c r="H65" s="109"/>
      <c r="I65" s="69"/>
      <c r="J65" s="69"/>
    </row>
    <row r="66" spans="2:10" x14ac:dyDescent="0.25">
      <c r="B66" s="129"/>
      <c r="C66" s="69"/>
      <c r="D66" s="108"/>
      <c r="E66" s="69"/>
      <c r="F66" s="108"/>
      <c r="G66" s="69"/>
      <c r="H66" s="109"/>
      <c r="I66" s="69"/>
      <c r="J66" s="69"/>
    </row>
    <row r="67" spans="2:10" x14ac:dyDescent="0.25">
      <c r="B67" s="129"/>
      <c r="C67" s="69"/>
      <c r="D67" s="108"/>
      <c r="E67" s="69"/>
      <c r="F67" s="108"/>
      <c r="G67" s="69"/>
      <c r="H67" s="109"/>
      <c r="I67" s="69"/>
      <c r="J67" s="69"/>
    </row>
    <row r="68" spans="2:10" x14ac:dyDescent="0.25">
      <c r="B68" s="129"/>
      <c r="C68" s="69"/>
      <c r="D68" s="108"/>
      <c r="E68" s="69"/>
      <c r="F68" s="108"/>
      <c r="G68" s="69"/>
      <c r="H68" s="109"/>
      <c r="I68" s="69"/>
      <c r="J68" s="69"/>
    </row>
    <row r="69" spans="2:10" x14ac:dyDescent="0.25">
      <c r="B69" s="129"/>
      <c r="C69" s="69"/>
      <c r="D69" s="108"/>
      <c r="E69" s="69"/>
      <c r="F69" s="108"/>
      <c r="G69" s="69"/>
      <c r="H69" s="109"/>
      <c r="I69" s="69"/>
      <c r="J69" s="69"/>
    </row>
    <row r="70" spans="2:10" x14ac:dyDescent="0.25">
      <c r="B70" s="129"/>
      <c r="C70" s="69"/>
      <c r="D70" s="108"/>
      <c r="E70" s="69"/>
      <c r="F70" s="108"/>
      <c r="G70" s="69"/>
      <c r="H70" s="109"/>
      <c r="I70" s="69"/>
      <c r="J70" s="69"/>
    </row>
    <row r="71" spans="2:10" x14ac:dyDescent="0.25">
      <c r="B71" s="129"/>
      <c r="C71" s="69"/>
      <c r="D71" s="108"/>
      <c r="E71" s="69"/>
      <c r="F71" s="108"/>
      <c r="G71" s="69"/>
      <c r="H71" s="109"/>
      <c r="I71" s="69"/>
      <c r="J71" s="69"/>
    </row>
    <row r="72" spans="2:10" x14ac:dyDescent="0.25">
      <c r="B72" s="129"/>
      <c r="C72" s="69"/>
      <c r="D72" s="108"/>
      <c r="E72" s="69"/>
      <c r="F72" s="108"/>
      <c r="G72" s="69"/>
      <c r="H72" s="109"/>
      <c r="I72" s="69"/>
      <c r="J72" s="69"/>
    </row>
    <row r="73" spans="2:10" x14ac:dyDescent="0.25">
      <c r="B73" s="129"/>
      <c r="C73" s="69"/>
      <c r="D73" s="108"/>
      <c r="E73" s="69"/>
      <c r="F73" s="108"/>
      <c r="G73" s="69"/>
      <c r="H73" s="109"/>
      <c r="I73" s="69"/>
      <c r="J73" s="69"/>
    </row>
    <row r="74" spans="2:10" x14ac:dyDescent="0.25">
      <c r="B74" s="129"/>
      <c r="C74" s="69"/>
      <c r="D74" s="108"/>
      <c r="E74" s="69"/>
      <c r="F74" s="108"/>
      <c r="G74" s="69"/>
      <c r="H74" s="109"/>
      <c r="I74" s="69"/>
      <c r="J74" s="69"/>
    </row>
    <row r="75" spans="2:10" x14ac:dyDescent="0.25">
      <c r="B75" s="129"/>
      <c r="C75" s="69"/>
      <c r="D75" s="108"/>
      <c r="E75" s="69"/>
      <c r="F75" s="108"/>
      <c r="G75" s="69"/>
      <c r="H75" s="109"/>
      <c r="I75" s="69"/>
      <c r="J75" s="69"/>
    </row>
    <row r="76" spans="2:10" x14ac:dyDescent="0.25">
      <c r="B76" s="129"/>
      <c r="C76" s="69"/>
      <c r="D76" s="108"/>
      <c r="E76" s="69"/>
      <c r="F76" s="108"/>
      <c r="G76" s="69"/>
      <c r="H76" s="109"/>
      <c r="I76" s="69"/>
      <c r="J76" s="69"/>
    </row>
    <row r="77" spans="2:10" x14ac:dyDescent="0.25">
      <c r="B77" s="129"/>
      <c r="C77" s="69"/>
      <c r="D77" s="108"/>
      <c r="E77" s="69"/>
      <c r="F77" s="108"/>
      <c r="G77" s="69"/>
      <c r="H77" s="109"/>
      <c r="I77" s="69"/>
      <c r="J77" s="69"/>
    </row>
    <row r="78" spans="2:10" x14ac:dyDescent="0.25">
      <c r="B78" s="129"/>
      <c r="C78" s="69"/>
      <c r="D78" s="108"/>
      <c r="E78" s="69"/>
      <c r="F78" s="108"/>
      <c r="G78" s="69"/>
      <c r="H78" s="109"/>
      <c r="I78" s="69"/>
      <c r="J78" s="69"/>
    </row>
    <row r="79" spans="2:10" x14ac:dyDescent="0.25">
      <c r="B79" s="129"/>
      <c r="C79" s="69"/>
      <c r="D79" s="108"/>
      <c r="E79" s="69"/>
      <c r="F79" s="108"/>
      <c r="G79" s="69"/>
      <c r="H79" s="109"/>
      <c r="I79" s="69"/>
      <c r="J79" s="69"/>
    </row>
    <row r="80" spans="2:10" x14ac:dyDescent="0.25">
      <c r="B80" s="129"/>
      <c r="C80" s="69"/>
      <c r="D80" s="108"/>
      <c r="E80" s="69"/>
      <c r="F80" s="108"/>
      <c r="G80" s="69"/>
      <c r="H80" s="109"/>
      <c r="I80" s="69"/>
      <c r="J80" s="69"/>
    </row>
    <row r="81" spans="2:10" x14ac:dyDescent="0.25">
      <c r="B81" s="129"/>
      <c r="C81" s="69"/>
      <c r="D81" s="108"/>
      <c r="E81" s="69"/>
      <c r="F81" s="108"/>
      <c r="G81" s="69"/>
      <c r="H81" s="109"/>
      <c r="I81" s="69"/>
      <c r="J81" s="69"/>
    </row>
    <row r="82" spans="2:10" x14ac:dyDescent="0.25">
      <c r="B82" s="129"/>
      <c r="C82" s="69"/>
      <c r="D82" s="108"/>
      <c r="E82" s="69"/>
      <c r="F82" s="108"/>
      <c r="G82" s="69"/>
      <c r="H82" s="109"/>
      <c r="I82" s="69"/>
      <c r="J82" s="69"/>
    </row>
    <row r="83" spans="2:10" x14ac:dyDescent="0.25">
      <c r="B83" s="129"/>
      <c r="C83" s="69"/>
      <c r="D83" s="108"/>
      <c r="E83" s="69"/>
      <c r="F83" s="108"/>
      <c r="G83" s="69"/>
      <c r="H83" s="109"/>
      <c r="I83" s="69"/>
      <c r="J83" s="69"/>
    </row>
    <row r="84" spans="2:10" x14ac:dyDescent="0.25">
      <c r="B84" s="129"/>
      <c r="C84" s="69"/>
      <c r="D84" s="108"/>
      <c r="E84" s="69"/>
      <c r="F84" s="108"/>
      <c r="G84" s="69"/>
      <c r="H84" s="109"/>
      <c r="I84" s="69"/>
      <c r="J84" s="69"/>
    </row>
    <row r="85" spans="2:10" x14ac:dyDescent="0.25">
      <c r="B85" s="129"/>
      <c r="C85" s="69"/>
      <c r="D85" s="108"/>
      <c r="E85" s="69"/>
      <c r="F85" s="108"/>
      <c r="G85" s="69"/>
      <c r="H85" s="109"/>
      <c r="I85" s="69"/>
      <c r="J85" s="69"/>
    </row>
    <row r="86" spans="2:10" x14ac:dyDescent="0.25">
      <c r="B86" s="129"/>
      <c r="C86" s="69"/>
      <c r="D86" s="108"/>
      <c r="E86" s="69"/>
      <c r="F86" s="108"/>
      <c r="G86" s="69"/>
      <c r="H86" s="109"/>
      <c r="I86" s="69"/>
      <c r="J86" s="69"/>
    </row>
    <row r="87" spans="2:10" x14ac:dyDescent="0.25">
      <c r="B87" s="129"/>
      <c r="C87" s="69"/>
      <c r="D87" s="108"/>
      <c r="E87" s="69"/>
      <c r="F87" s="108"/>
      <c r="G87" s="69"/>
      <c r="H87" s="109"/>
      <c r="I87" s="69"/>
      <c r="J87" s="69"/>
    </row>
    <row r="88" spans="2:10" x14ac:dyDescent="0.25">
      <c r="B88" s="129"/>
      <c r="C88" s="69"/>
      <c r="D88" s="108"/>
      <c r="E88" s="69"/>
      <c r="F88" s="108"/>
      <c r="G88" s="69"/>
      <c r="H88" s="109"/>
      <c r="I88" s="69"/>
      <c r="J88" s="69"/>
    </row>
    <row r="89" spans="2:10" x14ac:dyDescent="0.25">
      <c r="B89" s="129"/>
      <c r="C89" s="69"/>
      <c r="D89" s="108"/>
      <c r="E89" s="69"/>
      <c r="F89" s="108"/>
      <c r="G89" s="69"/>
      <c r="H89" s="109"/>
      <c r="I89" s="69"/>
      <c r="J89" s="69"/>
    </row>
    <row r="90" spans="2:10" x14ac:dyDescent="0.25">
      <c r="B90" s="129"/>
      <c r="C90" s="69"/>
      <c r="D90" s="108"/>
      <c r="E90" s="69"/>
      <c r="F90" s="108"/>
      <c r="G90" s="69"/>
      <c r="H90" s="109"/>
      <c r="I90" s="69"/>
      <c r="J90" s="69"/>
    </row>
    <row r="91" spans="2:10" x14ac:dyDescent="0.25">
      <c r="B91" s="129"/>
      <c r="C91" s="69"/>
      <c r="D91" s="108"/>
      <c r="E91" s="69"/>
      <c r="F91" s="108"/>
      <c r="G91" s="69"/>
      <c r="H91" s="109"/>
      <c r="I91" s="69"/>
      <c r="J91" s="69"/>
    </row>
    <row r="92" spans="2:10" x14ac:dyDescent="0.25">
      <c r="B92" s="129"/>
      <c r="C92" s="69"/>
      <c r="D92" s="108"/>
      <c r="E92" s="69"/>
      <c r="F92" s="108"/>
      <c r="G92" s="69"/>
      <c r="H92" s="109"/>
      <c r="I92" s="69"/>
      <c r="J92" s="69"/>
    </row>
    <row r="93" spans="2:10" x14ac:dyDescent="0.25">
      <c r="B93" s="129"/>
      <c r="C93" s="69"/>
      <c r="D93" s="108"/>
      <c r="E93" s="69"/>
      <c r="F93" s="108"/>
      <c r="G93" s="69"/>
      <c r="H93" s="109"/>
      <c r="I93" s="69"/>
      <c r="J93" s="69"/>
    </row>
    <row r="94" spans="2:10" x14ac:dyDescent="0.25">
      <c r="B94" s="129"/>
      <c r="C94" s="69"/>
      <c r="D94" s="108"/>
      <c r="E94" s="69"/>
      <c r="F94" s="108"/>
      <c r="G94" s="69"/>
      <c r="H94" s="109"/>
      <c r="I94" s="69"/>
      <c r="J94" s="69"/>
    </row>
    <row r="95" spans="2:10" x14ac:dyDescent="0.25">
      <c r="B95" s="129"/>
      <c r="C95" s="69"/>
      <c r="D95" s="108"/>
      <c r="E95" s="69"/>
      <c r="F95" s="108"/>
      <c r="G95" s="69"/>
      <c r="H95" s="109"/>
      <c r="I95" s="69"/>
      <c r="J95" s="69"/>
    </row>
    <row r="96" spans="2:10" x14ac:dyDescent="0.25">
      <c r="B96" s="129"/>
      <c r="C96" s="69"/>
      <c r="D96" s="108"/>
      <c r="E96" s="69"/>
      <c r="F96" s="108"/>
      <c r="G96" s="69"/>
      <c r="H96" s="109"/>
      <c r="I96" s="69"/>
      <c r="J96" s="69"/>
    </row>
    <row r="97" spans="2:10" x14ac:dyDescent="0.25">
      <c r="B97" s="129"/>
      <c r="C97" s="69"/>
      <c r="D97" s="108"/>
      <c r="E97" s="69"/>
      <c r="F97" s="108"/>
      <c r="G97" s="69"/>
      <c r="H97" s="109"/>
      <c r="I97" s="69"/>
      <c r="J97" s="69"/>
    </row>
    <row r="98" spans="2:10" x14ac:dyDescent="0.25">
      <c r="B98" s="129"/>
      <c r="C98" s="69"/>
      <c r="D98" s="108"/>
      <c r="E98" s="69"/>
      <c r="F98" s="108"/>
      <c r="G98" s="69"/>
      <c r="H98" s="109"/>
      <c r="I98" s="69"/>
      <c r="J98" s="69"/>
    </row>
    <row r="99" spans="2:10" x14ac:dyDescent="0.25">
      <c r="B99" s="129"/>
      <c r="C99" s="69"/>
      <c r="D99" s="108"/>
      <c r="E99" s="69"/>
      <c r="F99" s="108"/>
      <c r="G99" s="69"/>
      <c r="H99" s="109"/>
      <c r="I99" s="69"/>
      <c r="J99" s="69"/>
    </row>
    <row r="100" spans="2:10" x14ac:dyDescent="0.25">
      <c r="B100" s="129"/>
      <c r="C100" s="69"/>
      <c r="D100" s="108"/>
      <c r="E100" s="69"/>
      <c r="F100" s="108"/>
      <c r="G100" s="69"/>
      <c r="H100" s="109"/>
      <c r="I100" s="69"/>
      <c r="J100" s="69"/>
    </row>
    <row r="101" spans="2:10" x14ac:dyDescent="0.25">
      <c r="B101" s="130"/>
      <c r="C101" s="70"/>
      <c r="D101" s="110"/>
      <c r="E101" s="70"/>
      <c r="F101" s="110"/>
      <c r="G101" s="70"/>
      <c r="H101" s="111"/>
      <c r="I101" s="70"/>
      <c r="J101" s="70"/>
    </row>
  </sheetData>
  <pageMargins left="0.7" right="0.7" top="0.75" bottom="0.75" header="0.3" footer="0.3"/>
  <pageSetup orientation="portrait" horizontalDpi="360" verticalDpi="360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965041-427E-4056-8343-378B694A61C5}">
  <sheetPr codeName="Sheet3">
    <tabColor theme="1"/>
  </sheetPr>
  <dimension ref="B2:AH103"/>
  <sheetViews>
    <sheetView zoomScale="80" zoomScaleNormal="80" workbookViewId="0"/>
  </sheetViews>
  <sheetFormatPr defaultRowHeight="15" x14ac:dyDescent="0.25"/>
  <cols>
    <col min="2" max="2" width="28.85546875" bestFit="1" customWidth="1"/>
    <col min="8" max="8" width="19.42578125" bestFit="1" customWidth="1"/>
    <col min="9" max="9" width="11.140625" bestFit="1" customWidth="1"/>
    <col min="10" max="10" width="11.140625" customWidth="1"/>
    <col min="11" max="11" width="11.140625" bestFit="1" customWidth="1"/>
  </cols>
  <sheetData>
    <row r="2" spans="2:34" x14ac:dyDescent="0.25">
      <c r="B2" s="343" t="s">
        <v>386</v>
      </c>
      <c r="C2" s="344"/>
      <c r="D2" s="344"/>
      <c r="E2" s="344"/>
      <c r="F2" s="344"/>
      <c r="G2" s="344"/>
      <c r="H2" s="344"/>
      <c r="I2" s="344"/>
      <c r="J2" s="344"/>
      <c r="K2" s="345"/>
    </row>
    <row r="3" spans="2:34" x14ac:dyDescent="0.25">
      <c r="B3" s="113" t="s">
        <v>299</v>
      </c>
      <c r="C3" s="113" t="s">
        <v>301</v>
      </c>
      <c r="D3" s="113" t="s">
        <v>166</v>
      </c>
      <c r="E3" s="113" t="s">
        <v>167</v>
      </c>
      <c r="F3" s="113" t="s">
        <v>168</v>
      </c>
      <c r="G3" s="113" t="s">
        <v>169</v>
      </c>
      <c r="H3" s="113" t="s">
        <v>170</v>
      </c>
      <c r="I3" s="113" t="s">
        <v>300</v>
      </c>
      <c r="J3" s="113" t="s">
        <v>441</v>
      </c>
      <c r="K3" s="113" t="s">
        <v>462</v>
      </c>
    </row>
    <row r="4" spans="2:34" x14ac:dyDescent="0.25">
      <c r="B4" s="80" t="s">
        <v>682</v>
      </c>
      <c r="C4" s="79" t="s">
        <v>220</v>
      </c>
      <c r="D4" s="80" t="s">
        <v>227</v>
      </c>
      <c r="E4" s="79" t="s">
        <v>228</v>
      </c>
      <c r="F4" s="80" t="s">
        <v>229</v>
      </c>
      <c r="G4" s="79" t="s">
        <v>230</v>
      </c>
      <c r="H4" s="106" t="s">
        <v>231</v>
      </c>
      <c r="I4" s="107" t="s">
        <v>221</v>
      </c>
      <c r="J4" s="107">
        <v>60</v>
      </c>
      <c r="K4" s="107" t="s">
        <v>194</v>
      </c>
    </row>
    <row r="5" spans="2:34" x14ac:dyDescent="0.25">
      <c r="B5" s="75" t="s">
        <v>369</v>
      </c>
      <c r="C5" s="74" t="s">
        <v>220</v>
      </c>
      <c r="D5" s="75" t="s">
        <v>370</v>
      </c>
      <c r="E5" s="74" t="s">
        <v>371</v>
      </c>
      <c r="F5" s="75" t="s">
        <v>372</v>
      </c>
      <c r="G5" s="74" t="s">
        <v>373</v>
      </c>
      <c r="H5" s="76" t="s">
        <v>374</v>
      </c>
      <c r="I5" s="77" t="s">
        <v>375</v>
      </c>
      <c r="J5" s="77">
        <v>60</v>
      </c>
      <c r="K5" s="77" t="s">
        <v>194</v>
      </c>
    </row>
    <row r="6" spans="2:34" x14ac:dyDescent="0.25">
      <c r="B6" s="75" t="s">
        <v>683</v>
      </c>
      <c r="C6" s="74" t="s">
        <v>286</v>
      </c>
      <c r="D6" s="75" t="s">
        <v>266</v>
      </c>
      <c r="E6" s="74" t="s">
        <v>287</v>
      </c>
      <c r="F6" s="75" t="s">
        <v>288</v>
      </c>
      <c r="G6" s="74" t="s">
        <v>289</v>
      </c>
      <c r="H6" s="76" t="s">
        <v>231</v>
      </c>
      <c r="I6" s="77" t="s">
        <v>221</v>
      </c>
      <c r="J6" s="77">
        <v>60</v>
      </c>
      <c r="K6" s="77" t="s">
        <v>194</v>
      </c>
    </row>
    <row r="7" spans="2:34" x14ac:dyDescent="0.25">
      <c r="B7" s="75" t="s">
        <v>684</v>
      </c>
      <c r="C7" s="74" t="s">
        <v>685</v>
      </c>
      <c r="D7" s="75" t="s">
        <v>686</v>
      </c>
      <c r="E7" s="74" t="s">
        <v>687</v>
      </c>
      <c r="F7" s="75" t="s">
        <v>688</v>
      </c>
      <c r="G7" s="74" t="s">
        <v>689</v>
      </c>
      <c r="H7" s="76" t="s">
        <v>231</v>
      </c>
      <c r="I7" s="77" t="s">
        <v>221</v>
      </c>
      <c r="J7" s="77">
        <v>60</v>
      </c>
      <c r="K7" s="77" t="s">
        <v>194</v>
      </c>
    </row>
    <row r="8" spans="2:34" x14ac:dyDescent="0.25">
      <c r="B8" s="75" t="s">
        <v>704</v>
      </c>
      <c r="C8" s="74" t="s">
        <v>427</v>
      </c>
      <c r="D8" s="75" t="s">
        <v>705</v>
      </c>
      <c r="E8" s="74" t="s">
        <v>706</v>
      </c>
      <c r="F8" s="75" t="s">
        <v>707</v>
      </c>
      <c r="G8" s="74" t="s">
        <v>708</v>
      </c>
      <c r="H8" s="76" t="s">
        <v>269</v>
      </c>
      <c r="I8" s="77" t="s">
        <v>221</v>
      </c>
      <c r="J8" s="77">
        <v>60</v>
      </c>
      <c r="K8" s="77" t="s">
        <v>194</v>
      </c>
    </row>
    <row r="9" spans="2:34" x14ac:dyDescent="0.25">
      <c r="B9" s="75" t="s">
        <v>477</v>
      </c>
      <c r="C9" s="74" t="s">
        <v>478</v>
      </c>
      <c r="D9" s="75" t="s">
        <v>479</v>
      </c>
      <c r="E9" s="74" t="s">
        <v>480</v>
      </c>
      <c r="F9" s="75" t="s">
        <v>481</v>
      </c>
      <c r="G9" s="74" t="s">
        <v>482</v>
      </c>
      <c r="H9" s="76" t="s">
        <v>483</v>
      </c>
      <c r="I9" s="77" t="s">
        <v>375</v>
      </c>
      <c r="J9" s="77">
        <v>96</v>
      </c>
      <c r="K9" s="77" t="s">
        <v>200</v>
      </c>
    </row>
    <row r="10" spans="2:34" x14ac:dyDescent="0.25">
      <c r="B10" s="75" t="s">
        <v>484</v>
      </c>
      <c r="C10" s="74" t="s">
        <v>485</v>
      </c>
      <c r="D10" s="75" t="s">
        <v>486</v>
      </c>
      <c r="E10" s="74" t="s">
        <v>487</v>
      </c>
      <c r="F10" s="75" t="s">
        <v>488</v>
      </c>
      <c r="G10" s="74" t="s">
        <v>489</v>
      </c>
      <c r="H10" s="76" t="s">
        <v>483</v>
      </c>
      <c r="I10" s="77" t="s">
        <v>375</v>
      </c>
      <c r="J10" s="77">
        <v>96</v>
      </c>
      <c r="K10" s="77" t="s">
        <v>200</v>
      </c>
    </row>
    <row r="11" spans="2:34" x14ac:dyDescent="0.25">
      <c r="B11" s="75" t="s">
        <v>555</v>
      </c>
      <c r="C11" s="74" t="s">
        <v>485</v>
      </c>
      <c r="D11" s="75" t="s">
        <v>556</v>
      </c>
      <c r="E11" s="74" t="s">
        <v>557</v>
      </c>
      <c r="F11" s="75" t="s">
        <v>558</v>
      </c>
      <c r="G11" s="74" t="s">
        <v>559</v>
      </c>
      <c r="H11" s="76" t="s">
        <v>539</v>
      </c>
      <c r="I11" s="77" t="s">
        <v>221</v>
      </c>
      <c r="J11" s="77">
        <v>60</v>
      </c>
      <c r="K11" s="77" t="s">
        <v>197</v>
      </c>
    </row>
    <row r="12" spans="2:34" x14ac:dyDescent="0.25">
      <c r="B12" s="75" t="s">
        <v>264</v>
      </c>
      <c r="C12" s="74" t="s">
        <v>233</v>
      </c>
      <c r="D12" s="75" t="s">
        <v>265</v>
      </c>
      <c r="E12" s="74" t="s">
        <v>266</v>
      </c>
      <c r="F12" s="75" t="s">
        <v>267</v>
      </c>
      <c r="G12" s="74" t="s">
        <v>268</v>
      </c>
      <c r="H12" s="76" t="s">
        <v>269</v>
      </c>
      <c r="I12" s="77" t="s">
        <v>221</v>
      </c>
      <c r="J12" s="77">
        <v>60</v>
      </c>
      <c r="K12" s="77" t="s">
        <v>197</v>
      </c>
    </row>
    <row r="13" spans="2:34" x14ac:dyDescent="0.25">
      <c r="B13" s="75" t="s">
        <v>470</v>
      </c>
      <c r="C13" s="74" t="s">
        <v>471</v>
      </c>
      <c r="D13" s="75" t="s">
        <v>472</v>
      </c>
      <c r="E13" s="74" t="s">
        <v>473</v>
      </c>
      <c r="F13" s="75" t="s">
        <v>474</v>
      </c>
      <c r="G13" s="74" t="s">
        <v>475</v>
      </c>
      <c r="H13" s="76" t="s">
        <v>476</v>
      </c>
      <c r="I13" s="77" t="s">
        <v>221</v>
      </c>
      <c r="J13" s="77">
        <v>60</v>
      </c>
      <c r="K13" s="77" t="s">
        <v>197</v>
      </c>
    </row>
    <row r="14" spans="2:34" x14ac:dyDescent="0.25">
      <c r="B14" s="75" t="s">
        <v>674</v>
      </c>
      <c r="C14" s="74" t="s">
        <v>471</v>
      </c>
      <c r="D14" s="75" t="s">
        <v>675</v>
      </c>
      <c r="E14" s="74" t="s">
        <v>676</v>
      </c>
      <c r="F14" s="75" t="s">
        <v>677</v>
      </c>
      <c r="G14" s="74" t="s">
        <v>678</v>
      </c>
      <c r="H14" s="76" t="s">
        <v>231</v>
      </c>
      <c r="I14" s="77" t="s">
        <v>375</v>
      </c>
      <c r="J14" s="77">
        <v>72</v>
      </c>
      <c r="K14" s="77" t="s">
        <v>197</v>
      </c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</row>
    <row r="15" spans="2:34" x14ac:dyDescent="0.25">
      <c r="B15" s="75" t="s">
        <v>696</v>
      </c>
      <c r="C15" s="74" t="s">
        <v>471</v>
      </c>
      <c r="D15" s="75" t="s">
        <v>697</v>
      </c>
      <c r="E15" s="74" t="s">
        <v>698</v>
      </c>
      <c r="F15" s="75" t="s">
        <v>699</v>
      </c>
      <c r="G15" s="74" t="s">
        <v>700</v>
      </c>
      <c r="H15" s="76" t="s">
        <v>701</v>
      </c>
      <c r="I15" s="77" t="s">
        <v>221</v>
      </c>
      <c r="J15" s="77">
        <v>72</v>
      </c>
      <c r="K15" s="77" t="s">
        <v>197</v>
      </c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</row>
    <row r="16" spans="2:34" x14ac:dyDescent="0.25">
      <c r="B16" s="75" t="s">
        <v>695</v>
      </c>
      <c r="C16" s="74" t="s">
        <v>690</v>
      </c>
      <c r="D16" s="75" t="s">
        <v>691</v>
      </c>
      <c r="E16" s="74" t="s">
        <v>692</v>
      </c>
      <c r="F16" s="75" t="s">
        <v>693</v>
      </c>
      <c r="G16" s="74" t="s">
        <v>694</v>
      </c>
      <c r="H16" s="76" t="s">
        <v>231</v>
      </c>
      <c r="I16" s="77" t="s">
        <v>375</v>
      </c>
      <c r="J16" s="77">
        <v>72</v>
      </c>
      <c r="K16" s="77" t="s">
        <v>200</v>
      </c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</row>
    <row r="17" spans="2:34" x14ac:dyDescent="0.25">
      <c r="B17" s="75" t="s">
        <v>711</v>
      </c>
      <c r="C17" s="74" t="s">
        <v>690</v>
      </c>
      <c r="D17" s="75" t="s">
        <v>632</v>
      </c>
      <c r="E17" s="74" t="s">
        <v>712</v>
      </c>
      <c r="F17" s="75" t="s">
        <v>714</v>
      </c>
      <c r="G17" s="74" t="s">
        <v>713</v>
      </c>
      <c r="H17" s="76" t="s">
        <v>539</v>
      </c>
      <c r="I17" s="77" t="s">
        <v>221</v>
      </c>
      <c r="J17" s="77">
        <v>72</v>
      </c>
      <c r="K17" s="77" t="s">
        <v>200</v>
      </c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</row>
    <row r="18" spans="2:34" x14ac:dyDescent="0.25">
      <c r="B18" s="75" t="s">
        <v>533</v>
      </c>
      <c r="C18" s="74" t="s">
        <v>534</v>
      </c>
      <c r="D18" s="75" t="s">
        <v>535</v>
      </c>
      <c r="E18" s="74" t="s">
        <v>536</v>
      </c>
      <c r="F18" s="75" t="s">
        <v>537</v>
      </c>
      <c r="G18" s="74" t="s">
        <v>538</v>
      </c>
      <c r="H18" s="76" t="s">
        <v>539</v>
      </c>
      <c r="I18" s="77" t="s">
        <v>221</v>
      </c>
      <c r="J18" s="77">
        <v>72</v>
      </c>
      <c r="K18" s="77" t="s">
        <v>200</v>
      </c>
    </row>
    <row r="19" spans="2:34" x14ac:dyDescent="0.25">
      <c r="B19" s="75"/>
      <c r="C19" s="74"/>
      <c r="D19" s="75"/>
      <c r="E19" s="74"/>
      <c r="F19" s="75"/>
      <c r="G19" s="74"/>
      <c r="H19" s="75"/>
      <c r="I19" s="77"/>
      <c r="J19" s="77"/>
      <c r="K19" s="77"/>
    </row>
    <row r="20" spans="2:34" x14ac:dyDescent="0.25">
      <c r="B20" s="75"/>
      <c r="C20" s="74"/>
      <c r="D20" s="75"/>
      <c r="E20" s="74"/>
      <c r="F20" s="75"/>
      <c r="G20" s="74"/>
      <c r="H20" s="75"/>
      <c r="I20" s="77"/>
      <c r="J20" s="77"/>
      <c r="K20" s="77"/>
    </row>
    <row r="21" spans="2:34" x14ac:dyDescent="0.25">
      <c r="B21" s="75"/>
      <c r="C21" s="74"/>
      <c r="D21" s="75"/>
      <c r="E21" s="74"/>
      <c r="F21" s="75"/>
      <c r="G21" s="74"/>
      <c r="H21" s="75"/>
      <c r="I21" s="77"/>
      <c r="J21" s="77"/>
      <c r="K21" s="77"/>
    </row>
    <row r="22" spans="2:34" x14ac:dyDescent="0.25">
      <c r="B22" s="75"/>
      <c r="C22" s="74"/>
      <c r="D22" s="75"/>
      <c r="E22" s="74"/>
      <c r="F22" s="75"/>
      <c r="G22" s="74"/>
      <c r="H22" s="75"/>
      <c r="I22" s="77"/>
      <c r="J22" s="77"/>
      <c r="K22" s="77"/>
    </row>
    <row r="23" spans="2:34" x14ac:dyDescent="0.25">
      <c r="B23" s="75"/>
      <c r="C23" s="74"/>
      <c r="D23" s="75"/>
      <c r="E23" s="74"/>
      <c r="F23" s="75"/>
      <c r="G23" s="74"/>
      <c r="H23" s="75"/>
      <c r="I23" s="77"/>
      <c r="J23" s="77"/>
      <c r="K23" s="77"/>
    </row>
    <row r="24" spans="2:34" x14ac:dyDescent="0.25">
      <c r="B24" s="75"/>
      <c r="C24" s="74"/>
      <c r="D24" s="75"/>
      <c r="E24" s="74"/>
      <c r="F24" s="75"/>
      <c r="G24" s="74"/>
      <c r="H24" s="75"/>
      <c r="I24" s="77"/>
      <c r="J24" s="77"/>
      <c r="K24" s="77"/>
    </row>
    <row r="25" spans="2:34" x14ac:dyDescent="0.25">
      <c r="B25" s="75"/>
      <c r="C25" s="74"/>
      <c r="D25" s="75"/>
      <c r="E25" s="74"/>
      <c r="F25" s="75"/>
      <c r="G25" s="74"/>
      <c r="H25" s="75"/>
      <c r="I25" s="77"/>
      <c r="J25" s="77"/>
      <c r="K25" s="77"/>
    </row>
    <row r="26" spans="2:34" x14ac:dyDescent="0.25">
      <c r="B26" s="75"/>
      <c r="C26" s="74"/>
      <c r="D26" s="75"/>
      <c r="E26" s="74"/>
      <c r="F26" s="75"/>
      <c r="G26" s="74"/>
      <c r="H26" s="75"/>
      <c r="I26" s="77"/>
      <c r="J26" s="77"/>
      <c r="K26" s="77"/>
    </row>
    <row r="27" spans="2:34" x14ac:dyDescent="0.25">
      <c r="B27" s="75"/>
      <c r="C27" s="74"/>
      <c r="D27" s="75"/>
      <c r="E27" s="74"/>
      <c r="F27" s="75"/>
      <c r="G27" s="74"/>
      <c r="H27" s="75"/>
      <c r="I27" s="77"/>
      <c r="J27" s="77"/>
      <c r="K27" s="77"/>
    </row>
    <row r="28" spans="2:34" x14ac:dyDescent="0.25">
      <c r="B28" s="75"/>
      <c r="C28" s="74"/>
      <c r="D28" s="75"/>
      <c r="E28" s="74"/>
      <c r="F28" s="75"/>
      <c r="G28" s="74"/>
      <c r="H28" s="75"/>
      <c r="I28" s="77"/>
      <c r="J28" s="77"/>
      <c r="K28" s="77"/>
    </row>
    <row r="29" spans="2:34" x14ac:dyDescent="0.25">
      <c r="B29" s="75"/>
      <c r="C29" s="74"/>
      <c r="D29" s="75"/>
      <c r="E29" s="74"/>
      <c r="F29" s="75"/>
      <c r="G29" s="74"/>
      <c r="H29" s="75"/>
      <c r="I29" s="77"/>
      <c r="J29" s="77"/>
      <c r="K29" s="77"/>
    </row>
    <row r="30" spans="2:34" x14ac:dyDescent="0.25">
      <c r="B30" s="75"/>
      <c r="C30" s="74"/>
      <c r="D30" s="75"/>
      <c r="E30" s="74"/>
      <c r="F30" s="75"/>
      <c r="G30" s="74"/>
      <c r="H30" s="75"/>
      <c r="I30" s="77"/>
      <c r="J30" s="77"/>
      <c r="K30" s="77"/>
    </row>
    <row r="31" spans="2:34" x14ac:dyDescent="0.25">
      <c r="B31" s="75"/>
      <c r="C31" s="74"/>
      <c r="D31" s="75"/>
      <c r="E31" s="74"/>
      <c r="F31" s="75"/>
      <c r="G31" s="74"/>
      <c r="H31" s="75"/>
      <c r="I31" s="77"/>
      <c r="J31" s="77"/>
      <c r="K31" s="77"/>
    </row>
    <row r="32" spans="2:34" x14ac:dyDescent="0.25">
      <c r="B32" s="75"/>
      <c r="C32" s="74"/>
      <c r="D32" s="75"/>
      <c r="E32" s="74"/>
      <c r="F32" s="75"/>
      <c r="G32" s="74"/>
      <c r="H32" s="75"/>
      <c r="I32" s="77"/>
      <c r="J32" s="77"/>
      <c r="K32" s="77"/>
    </row>
    <row r="33" spans="2:11" x14ac:dyDescent="0.25">
      <c r="B33" s="75"/>
      <c r="C33" s="74"/>
      <c r="D33" s="75"/>
      <c r="E33" s="74"/>
      <c r="F33" s="75"/>
      <c r="G33" s="74"/>
      <c r="H33" s="75"/>
      <c r="I33" s="77"/>
      <c r="J33" s="77"/>
      <c r="K33" s="77"/>
    </row>
    <row r="34" spans="2:11" x14ac:dyDescent="0.25">
      <c r="B34" s="75"/>
      <c r="C34" s="74"/>
      <c r="D34" s="75"/>
      <c r="E34" s="74"/>
      <c r="F34" s="75"/>
      <c r="G34" s="74"/>
      <c r="H34" s="75"/>
      <c r="I34" s="77"/>
      <c r="J34" s="77"/>
      <c r="K34" s="77"/>
    </row>
    <row r="35" spans="2:11" x14ac:dyDescent="0.25">
      <c r="B35" s="75"/>
      <c r="C35" s="74"/>
      <c r="D35" s="75"/>
      <c r="E35" s="74"/>
      <c r="F35" s="75"/>
      <c r="G35" s="74"/>
      <c r="H35" s="75"/>
      <c r="I35" s="77"/>
      <c r="J35" s="77"/>
      <c r="K35" s="77"/>
    </row>
    <row r="36" spans="2:11" x14ac:dyDescent="0.25">
      <c r="B36" s="75"/>
      <c r="C36" s="74"/>
      <c r="D36" s="75"/>
      <c r="E36" s="74"/>
      <c r="F36" s="75"/>
      <c r="G36" s="74"/>
      <c r="H36" s="75"/>
      <c r="I36" s="77"/>
      <c r="J36" s="77"/>
      <c r="K36" s="77"/>
    </row>
    <row r="37" spans="2:11" x14ac:dyDescent="0.25">
      <c r="B37" s="75"/>
      <c r="C37" s="74"/>
      <c r="D37" s="75"/>
      <c r="E37" s="74"/>
      <c r="F37" s="75"/>
      <c r="G37" s="74"/>
      <c r="H37" s="75"/>
      <c r="I37" s="77"/>
      <c r="J37" s="77"/>
      <c r="K37" s="77"/>
    </row>
    <row r="38" spans="2:11" x14ac:dyDescent="0.25">
      <c r="B38" s="75"/>
      <c r="C38" s="74"/>
      <c r="D38" s="75"/>
      <c r="E38" s="74"/>
      <c r="F38" s="75"/>
      <c r="G38" s="74"/>
      <c r="H38" s="75"/>
      <c r="I38" s="77"/>
      <c r="J38" s="77"/>
      <c r="K38" s="77"/>
    </row>
    <row r="39" spans="2:11" x14ac:dyDescent="0.25">
      <c r="B39" s="75"/>
      <c r="C39" s="74"/>
      <c r="D39" s="75"/>
      <c r="E39" s="74"/>
      <c r="F39" s="75"/>
      <c r="G39" s="74"/>
      <c r="H39" s="75"/>
      <c r="I39" s="77"/>
      <c r="J39" s="77"/>
      <c r="K39" s="77"/>
    </row>
    <row r="40" spans="2:11" x14ac:dyDescent="0.25">
      <c r="B40" s="75"/>
      <c r="C40" s="74"/>
      <c r="D40" s="75"/>
      <c r="E40" s="74"/>
      <c r="F40" s="75"/>
      <c r="G40" s="74"/>
      <c r="H40" s="75"/>
      <c r="I40" s="77"/>
      <c r="J40" s="77"/>
      <c r="K40" s="77"/>
    </row>
    <row r="41" spans="2:11" x14ac:dyDescent="0.25">
      <c r="B41" s="75"/>
      <c r="C41" s="74"/>
      <c r="D41" s="75"/>
      <c r="E41" s="74"/>
      <c r="F41" s="75"/>
      <c r="G41" s="74"/>
      <c r="H41" s="75"/>
      <c r="I41" s="77"/>
      <c r="J41" s="77"/>
      <c r="K41" s="77"/>
    </row>
    <row r="42" spans="2:11" x14ac:dyDescent="0.25">
      <c r="B42" s="75"/>
      <c r="C42" s="74"/>
      <c r="D42" s="75"/>
      <c r="E42" s="74"/>
      <c r="F42" s="75"/>
      <c r="G42" s="74"/>
      <c r="H42" s="75"/>
      <c r="I42" s="77"/>
      <c r="J42" s="77"/>
      <c r="K42" s="77"/>
    </row>
    <row r="43" spans="2:11" x14ac:dyDescent="0.25">
      <c r="B43" s="75"/>
      <c r="C43" s="74"/>
      <c r="D43" s="75"/>
      <c r="E43" s="74"/>
      <c r="F43" s="75"/>
      <c r="G43" s="74"/>
      <c r="H43" s="75"/>
      <c r="I43" s="77"/>
      <c r="J43" s="77"/>
      <c r="K43" s="77"/>
    </row>
    <row r="44" spans="2:11" x14ac:dyDescent="0.25">
      <c r="B44" s="75"/>
      <c r="C44" s="74"/>
      <c r="D44" s="75"/>
      <c r="E44" s="74"/>
      <c r="F44" s="75"/>
      <c r="G44" s="74"/>
      <c r="H44" s="75"/>
      <c r="I44" s="77"/>
      <c r="J44" s="77"/>
      <c r="K44" s="77"/>
    </row>
    <row r="45" spans="2:11" x14ac:dyDescent="0.25">
      <c r="B45" s="75"/>
      <c r="C45" s="74"/>
      <c r="D45" s="75"/>
      <c r="E45" s="74"/>
      <c r="F45" s="75"/>
      <c r="G45" s="74"/>
      <c r="H45" s="75"/>
      <c r="I45" s="77"/>
      <c r="J45" s="77"/>
      <c r="K45" s="77"/>
    </row>
    <row r="46" spans="2:11" x14ac:dyDescent="0.25">
      <c r="B46" s="75"/>
      <c r="C46" s="74"/>
      <c r="D46" s="75"/>
      <c r="E46" s="74"/>
      <c r="F46" s="75"/>
      <c r="G46" s="74"/>
      <c r="H46" s="75"/>
      <c r="I46" s="77"/>
      <c r="J46" s="77"/>
      <c r="K46" s="77"/>
    </row>
    <row r="47" spans="2:11" x14ac:dyDescent="0.25">
      <c r="B47" s="75"/>
      <c r="C47" s="74"/>
      <c r="D47" s="75"/>
      <c r="E47" s="74"/>
      <c r="F47" s="75"/>
      <c r="G47" s="74"/>
      <c r="H47" s="75"/>
      <c r="I47" s="77"/>
      <c r="J47" s="77"/>
      <c r="K47" s="77"/>
    </row>
    <row r="48" spans="2:11" x14ac:dyDescent="0.25">
      <c r="B48" s="75"/>
      <c r="C48" s="74"/>
      <c r="D48" s="75"/>
      <c r="E48" s="74"/>
      <c r="F48" s="75"/>
      <c r="G48" s="74"/>
      <c r="H48" s="75"/>
      <c r="I48" s="77"/>
      <c r="J48" s="77"/>
      <c r="K48" s="77"/>
    </row>
    <row r="49" spans="2:11" x14ac:dyDescent="0.25">
      <c r="B49" s="75"/>
      <c r="C49" s="74"/>
      <c r="D49" s="75"/>
      <c r="E49" s="74"/>
      <c r="F49" s="75"/>
      <c r="G49" s="74"/>
      <c r="H49" s="75"/>
      <c r="I49" s="77"/>
      <c r="J49" s="77"/>
      <c r="K49" s="77"/>
    </row>
    <row r="50" spans="2:11" x14ac:dyDescent="0.25">
      <c r="B50" s="75"/>
      <c r="C50" s="74"/>
      <c r="D50" s="75"/>
      <c r="E50" s="74"/>
      <c r="F50" s="75"/>
      <c r="G50" s="74"/>
      <c r="H50" s="75"/>
      <c r="I50" s="77"/>
      <c r="J50" s="77"/>
      <c r="K50" s="77"/>
    </row>
    <row r="51" spans="2:11" x14ac:dyDescent="0.25">
      <c r="B51" s="75"/>
      <c r="C51" s="74"/>
      <c r="D51" s="75"/>
      <c r="E51" s="74"/>
      <c r="F51" s="75"/>
      <c r="G51" s="74"/>
      <c r="H51" s="75"/>
      <c r="I51" s="77"/>
      <c r="J51" s="77"/>
      <c r="K51" s="77"/>
    </row>
    <row r="52" spans="2:11" x14ac:dyDescent="0.25">
      <c r="B52" s="75"/>
      <c r="C52" s="74"/>
      <c r="D52" s="75"/>
      <c r="E52" s="74"/>
      <c r="F52" s="75"/>
      <c r="G52" s="74"/>
      <c r="H52" s="75"/>
      <c r="I52" s="77"/>
      <c r="J52" s="77"/>
      <c r="K52" s="77"/>
    </row>
    <row r="53" spans="2:11" x14ac:dyDescent="0.25">
      <c r="B53" s="75"/>
      <c r="C53" s="74"/>
      <c r="D53" s="75"/>
      <c r="E53" s="74"/>
      <c r="F53" s="75"/>
      <c r="G53" s="74"/>
      <c r="H53" s="75"/>
      <c r="I53" s="77"/>
      <c r="J53" s="77"/>
      <c r="K53" s="77"/>
    </row>
    <row r="54" spans="2:11" x14ac:dyDescent="0.25">
      <c r="B54" s="75"/>
      <c r="C54" s="74"/>
      <c r="D54" s="75"/>
      <c r="E54" s="74"/>
      <c r="F54" s="75"/>
      <c r="G54" s="74"/>
      <c r="H54" s="75"/>
      <c r="I54" s="77"/>
      <c r="J54" s="77"/>
      <c r="K54" s="77"/>
    </row>
    <row r="55" spans="2:11" x14ac:dyDescent="0.25">
      <c r="B55" s="75"/>
      <c r="C55" s="74"/>
      <c r="D55" s="75"/>
      <c r="E55" s="74"/>
      <c r="F55" s="75"/>
      <c r="G55" s="74"/>
      <c r="H55" s="75"/>
      <c r="I55" s="77"/>
      <c r="J55" s="77"/>
      <c r="K55" s="77"/>
    </row>
    <row r="56" spans="2:11" x14ac:dyDescent="0.25">
      <c r="B56" s="75"/>
      <c r="C56" s="74"/>
      <c r="D56" s="75"/>
      <c r="E56" s="74"/>
      <c r="F56" s="75"/>
      <c r="G56" s="74"/>
      <c r="H56" s="75"/>
      <c r="I56" s="77"/>
      <c r="J56" s="77"/>
      <c r="K56" s="77"/>
    </row>
    <row r="57" spans="2:11" x14ac:dyDescent="0.25">
      <c r="B57" s="75"/>
      <c r="C57" s="74"/>
      <c r="D57" s="75"/>
      <c r="E57" s="74"/>
      <c r="F57" s="75"/>
      <c r="G57" s="74"/>
      <c r="H57" s="75"/>
      <c r="I57" s="77"/>
      <c r="J57" s="77"/>
      <c r="K57" s="77"/>
    </row>
    <row r="58" spans="2:11" x14ac:dyDescent="0.25">
      <c r="B58" s="75"/>
      <c r="C58" s="74"/>
      <c r="D58" s="75"/>
      <c r="E58" s="74"/>
      <c r="F58" s="75"/>
      <c r="G58" s="74"/>
      <c r="H58" s="75"/>
      <c r="I58" s="77"/>
      <c r="J58" s="77"/>
      <c r="K58" s="77"/>
    </row>
    <row r="59" spans="2:11" x14ac:dyDescent="0.25">
      <c r="B59" s="75"/>
      <c r="C59" s="74"/>
      <c r="D59" s="75"/>
      <c r="E59" s="74"/>
      <c r="F59" s="75"/>
      <c r="G59" s="74"/>
      <c r="H59" s="75"/>
      <c r="I59" s="77"/>
      <c r="J59" s="77"/>
      <c r="K59" s="77"/>
    </row>
    <row r="60" spans="2:11" x14ac:dyDescent="0.25">
      <c r="B60" s="75"/>
      <c r="C60" s="74"/>
      <c r="D60" s="75"/>
      <c r="E60" s="74"/>
      <c r="F60" s="75"/>
      <c r="G60" s="74"/>
      <c r="H60" s="75"/>
      <c r="I60" s="77"/>
      <c r="J60" s="77"/>
      <c r="K60" s="77"/>
    </row>
    <row r="61" spans="2:11" x14ac:dyDescent="0.25">
      <c r="B61" s="75"/>
      <c r="C61" s="74"/>
      <c r="D61" s="75"/>
      <c r="E61" s="74"/>
      <c r="F61" s="75"/>
      <c r="G61" s="74"/>
      <c r="H61" s="75"/>
      <c r="I61" s="77"/>
      <c r="J61" s="77"/>
      <c r="K61" s="77"/>
    </row>
    <row r="62" spans="2:11" x14ac:dyDescent="0.25">
      <c r="B62" s="75"/>
      <c r="C62" s="74"/>
      <c r="D62" s="75"/>
      <c r="E62" s="74"/>
      <c r="F62" s="75"/>
      <c r="G62" s="74"/>
      <c r="H62" s="75"/>
      <c r="I62" s="77"/>
      <c r="J62" s="77"/>
      <c r="K62" s="77"/>
    </row>
    <row r="63" spans="2:11" x14ac:dyDescent="0.25">
      <c r="B63" s="75"/>
      <c r="C63" s="74"/>
      <c r="D63" s="75"/>
      <c r="E63" s="74"/>
      <c r="F63" s="75"/>
      <c r="G63" s="74"/>
      <c r="H63" s="75"/>
      <c r="I63" s="77"/>
      <c r="J63" s="77"/>
      <c r="K63" s="77"/>
    </row>
    <row r="64" spans="2:11" x14ac:dyDescent="0.25">
      <c r="B64" s="75"/>
      <c r="C64" s="74"/>
      <c r="D64" s="75"/>
      <c r="E64" s="74"/>
      <c r="F64" s="75"/>
      <c r="G64" s="74"/>
      <c r="H64" s="75"/>
      <c r="I64" s="77"/>
      <c r="J64" s="77"/>
      <c r="K64" s="77"/>
    </row>
    <row r="65" spans="2:11" x14ac:dyDescent="0.25">
      <c r="B65" s="75"/>
      <c r="C65" s="74"/>
      <c r="D65" s="75"/>
      <c r="E65" s="74"/>
      <c r="F65" s="75"/>
      <c r="G65" s="74"/>
      <c r="H65" s="75"/>
      <c r="I65" s="77"/>
      <c r="J65" s="77"/>
      <c r="K65" s="77"/>
    </row>
    <row r="66" spans="2:11" x14ac:dyDescent="0.25">
      <c r="B66" s="75"/>
      <c r="C66" s="74"/>
      <c r="D66" s="75"/>
      <c r="E66" s="74"/>
      <c r="F66" s="75"/>
      <c r="G66" s="74"/>
      <c r="H66" s="75"/>
      <c r="I66" s="77"/>
      <c r="J66" s="77"/>
      <c r="K66" s="77"/>
    </row>
    <row r="67" spans="2:11" x14ac:dyDescent="0.25">
      <c r="B67" s="75"/>
      <c r="C67" s="74"/>
      <c r="D67" s="75"/>
      <c r="E67" s="74"/>
      <c r="F67" s="75"/>
      <c r="G67" s="74"/>
      <c r="H67" s="75"/>
      <c r="I67" s="77"/>
      <c r="J67" s="77"/>
      <c r="K67" s="77"/>
    </row>
    <row r="68" spans="2:11" x14ac:dyDescent="0.25">
      <c r="B68" s="75"/>
      <c r="C68" s="74"/>
      <c r="D68" s="75"/>
      <c r="E68" s="74"/>
      <c r="F68" s="75"/>
      <c r="G68" s="74"/>
      <c r="H68" s="75"/>
      <c r="I68" s="77"/>
      <c r="J68" s="77"/>
      <c r="K68" s="77"/>
    </row>
    <row r="69" spans="2:11" x14ac:dyDescent="0.25">
      <c r="B69" s="75"/>
      <c r="C69" s="74"/>
      <c r="D69" s="75"/>
      <c r="E69" s="74"/>
      <c r="F69" s="75"/>
      <c r="G69" s="74"/>
      <c r="H69" s="75"/>
      <c r="I69" s="77"/>
      <c r="J69" s="77"/>
      <c r="K69" s="77"/>
    </row>
    <row r="70" spans="2:11" x14ac:dyDescent="0.25">
      <c r="B70" s="75"/>
      <c r="C70" s="74"/>
      <c r="D70" s="75"/>
      <c r="E70" s="74"/>
      <c r="F70" s="75"/>
      <c r="G70" s="74"/>
      <c r="H70" s="75"/>
      <c r="I70" s="77"/>
      <c r="J70" s="77"/>
      <c r="K70" s="77"/>
    </row>
    <row r="71" spans="2:11" x14ac:dyDescent="0.25">
      <c r="B71" s="75"/>
      <c r="C71" s="74"/>
      <c r="D71" s="75"/>
      <c r="E71" s="74"/>
      <c r="F71" s="75"/>
      <c r="G71" s="74"/>
      <c r="H71" s="75"/>
      <c r="I71" s="77"/>
      <c r="J71" s="77"/>
      <c r="K71" s="77"/>
    </row>
    <row r="72" spans="2:11" x14ac:dyDescent="0.25">
      <c r="B72" s="75"/>
      <c r="C72" s="74"/>
      <c r="D72" s="75"/>
      <c r="E72" s="74"/>
      <c r="F72" s="75"/>
      <c r="G72" s="74"/>
      <c r="H72" s="75"/>
      <c r="I72" s="77"/>
      <c r="J72" s="77"/>
      <c r="K72" s="77"/>
    </row>
    <row r="73" spans="2:11" x14ac:dyDescent="0.25">
      <c r="B73" s="75"/>
      <c r="C73" s="74"/>
      <c r="D73" s="75"/>
      <c r="E73" s="74"/>
      <c r="F73" s="75"/>
      <c r="G73" s="74"/>
      <c r="H73" s="75"/>
      <c r="I73" s="77"/>
      <c r="J73" s="77"/>
      <c r="K73" s="77"/>
    </row>
    <row r="74" spans="2:11" x14ac:dyDescent="0.25">
      <c r="B74" s="75"/>
      <c r="C74" s="74"/>
      <c r="D74" s="75"/>
      <c r="E74" s="74"/>
      <c r="F74" s="75"/>
      <c r="G74" s="74"/>
      <c r="H74" s="75"/>
      <c r="I74" s="77"/>
      <c r="J74" s="77"/>
      <c r="K74" s="77"/>
    </row>
    <row r="75" spans="2:11" x14ac:dyDescent="0.25">
      <c r="B75" s="75"/>
      <c r="C75" s="74"/>
      <c r="D75" s="75"/>
      <c r="E75" s="74"/>
      <c r="F75" s="75"/>
      <c r="G75" s="74"/>
      <c r="H75" s="75"/>
      <c r="I75" s="77"/>
      <c r="J75" s="77"/>
      <c r="K75" s="77"/>
    </row>
    <row r="76" spans="2:11" x14ac:dyDescent="0.25">
      <c r="B76" s="75"/>
      <c r="C76" s="74"/>
      <c r="D76" s="75"/>
      <c r="E76" s="74"/>
      <c r="F76" s="75"/>
      <c r="G76" s="74"/>
      <c r="H76" s="75"/>
      <c r="I76" s="77"/>
      <c r="J76" s="77"/>
      <c r="K76" s="77"/>
    </row>
    <row r="77" spans="2:11" x14ac:dyDescent="0.25">
      <c r="B77" s="75"/>
      <c r="C77" s="74"/>
      <c r="D77" s="75"/>
      <c r="E77" s="74"/>
      <c r="F77" s="75"/>
      <c r="G77" s="74"/>
      <c r="H77" s="75"/>
      <c r="I77" s="77"/>
      <c r="J77" s="77"/>
      <c r="K77" s="77"/>
    </row>
    <row r="78" spans="2:11" x14ac:dyDescent="0.25">
      <c r="B78" s="75"/>
      <c r="C78" s="74"/>
      <c r="D78" s="75"/>
      <c r="E78" s="74"/>
      <c r="F78" s="75"/>
      <c r="G78" s="74"/>
      <c r="H78" s="75"/>
      <c r="I78" s="77"/>
      <c r="J78" s="77"/>
      <c r="K78" s="77"/>
    </row>
    <row r="79" spans="2:11" x14ac:dyDescent="0.25">
      <c r="B79" s="75"/>
      <c r="C79" s="74"/>
      <c r="D79" s="75"/>
      <c r="E79" s="74"/>
      <c r="F79" s="75"/>
      <c r="G79" s="74"/>
      <c r="H79" s="75"/>
      <c r="I79" s="77"/>
      <c r="J79" s="77"/>
      <c r="K79" s="77"/>
    </row>
    <row r="80" spans="2:11" x14ac:dyDescent="0.25">
      <c r="B80" s="75"/>
      <c r="C80" s="74"/>
      <c r="D80" s="75"/>
      <c r="E80" s="74"/>
      <c r="F80" s="75"/>
      <c r="G80" s="74"/>
      <c r="H80" s="75"/>
      <c r="I80" s="77"/>
      <c r="J80" s="77"/>
      <c r="K80" s="77"/>
    </row>
    <row r="81" spans="2:11" x14ac:dyDescent="0.25">
      <c r="B81" s="75"/>
      <c r="C81" s="74"/>
      <c r="D81" s="75"/>
      <c r="E81" s="74"/>
      <c r="F81" s="75"/>
      <c r="G81" s="74"/>
      <c r="H81" s="75"/>
      <c r="I81" s="77"/>
      <c r="J81" s="77"/>
      <c r="K81" s="77"/>
    </row>
    <row r="82" spans="2:11" x14ac:dyDescent="0.25">
      <c r="B82" s="75"/>
      <c r="C82" s="74"/>
      <c r="D82" s="75"/>
      <c r="E82" s="74"/>
      <c r="F82" s="75"/>
      <c r="G82" s="74"/>
      <c r="H82" s="75"/>
      <c r="I82" s="77"/>
      <c r="J82" s="77"/>
      <c r="K82" s="77"/>
    </row>
    <row r="83" spans="2:11" x14ac:dyDescent="0.25">
      <c r="B83" s="75"/>
      <c r="C83" s="74"/>
      <c r="D83" s="75"/>
      <c r="E83" s="74"/>
      <c r="F83" s="75"/>
      <c r="G83" s="74"/>
      <c r="H83" s="75"/>
      <c r="I83" s="77"/>
      <c r="J83" s="77"/>
      <c r="K83" s="77"/>
    </row>
    <row r="84" spans="2:11" x14ac:dyDescent="0.25">
      <c r="B84" s="75"/>
      <c r="C84" s="74"/>
      <c r="D84" s="75"/>
      <c r="E84" s="74"/>
      <c r="F84" s="75"/>
      <c r="G84" s="74"/>
      <c r="H84" s="75"/>
      <c r="I84" s="77"/>
      <c r="J84" s="77"/>
      <c r="K84" s="77"/>
    </row>
    <row r="85" spans="2:11" x14ac:dyDescent="0.25">
      <c r="B85" s="75"/>
      <c r="C85" s="74"/>
      <c r="D85" s="75"/>
      <c r="E85" s="74"/>
      <c r="F85" s="75"/>
      <c r="G85" s="74"/>
      <c r="H85" s="75"/>
      <c r="I85" s="77"/>
      <c r="J85" s="77"/>
      <c r="K85" s="77"/>
    </row>
    <row r="86" spans="2:11" x14ac:dyDescent="0.25">
      <c r="B86" s="75"/>
      <c r="C86" s="74"/>
      <c r="D86" s="75"/>
      <c r="E86" s="74"/>
      <c r="F86" s="75"/>
      <c r="G86" s="74"/>
      <c r="H86" s="75"/>
      <c r="I86" s="77"/>
      <c r="J86" s="77"/>
      <c r="K86" s="77"/>
    </row>
    <row r="87" spans="2:11" x14ac:dyDescent="0.25">
      <c r="B87" s="75"/>
      <c r="C87" s="74"/>
      <c r="D87" s="75"/>
      <c r="E87" s="74"/>
      <c r="F87" s="75"/>
      <c r="G87" s="74"/>
      <c r="H87" s="75"/>
      <c r="I87" s="77"/>
      <c r="J87" s="77"/>
      <c r="K87" s="77"/>
    </row>
    <row r="88" spans="2:11" x14ac:dyDescent="0.25">
      <c r="B88" s="75"/>
      <c r="C88" s="74"/>
      <c r="D88" s="75"/>
      <c r="E88" s="74"/>
      <c r="F88" s="75"/>
      <c r="G88" s="74"/>
      <c r="H88" s="75"/>
      <c r="I88" s="77"/>
      <c r="J88" s="77"/>
      <c r="K88" s="77"/>
    </row>
    <row r="89" spans="2:11" x14ac:dyDescent="0.25">
      <c r="B89" s="75"/>
      <c r="C89" s="74"/>
      <c r="D89" s="75"/>
      <c r="E89" s="74"/>
      <c r="F89" s="75"/>
      <c r="G89" s="74"/>
      <c r="H89" s="75"/>
      <c r="I89" s="77"/>
      <c r="J89" s="77"/>
      <c r="K89" s="77"/>
    </row>
    <row r="90" spans="2:11" x14ac:dyDescent="0.25">
      <c r="B90" s="75"/>
      <c r="C90" s="74"/>
      <c r="D90" s="75"/>
      <c r="E90" s="74"/>
      <c r="F90" s="75"/>
      <c r="G90" s="74"/>
      <c r="H90" s="75"/>
      <c r="I90" s="77"/>
      <c r="J90" s="77"/>
      <c r="K90" s="77"/>
    </row>
    <row r="91" spans="2:11" x14ac:dyDescent="0.25">
      <c r="B91" s="75"/>
      <c r="C91" s="74"/>
      <c r="D91" s="75"/>
      <c r="E91" s="74"/>
      <c r="F91" s="75"/>
      <c r="G91" s="74"/>
      <c r="H91" s="75"/>
      <c r="I91" s="77"/>
      <c r="J91" s="77"/>
      <c r="K91" s="77"/>
    </row>
    <row r="92" spans="2:11" x14ac:dyDescent="0.25">
      <c r="B92" s="75"/>
      <c r="C92" s="74"/>
      <c r="D92" s="75"/>
      <c r="E92" s="74"/>
      <c r="F92" s="75"/>
      <c r="G92" s="74"/>
      <c r="H92" s="75"/>
      <c r="I92" s="77"/>
      <c r="J92" s="77"/>
      <c r="K92" s="77"/>
    </row>
    <row r="93" spans="2:11" x14ac:dyDescent="0.25">
      <c r="B93" s="75"/>
      <c r="C93" s="74"/>
      <c r="D93" s="75"/>
      <c r="E93" s="74"/>
      <c r="F93" s="75"/>
      <c r="G93" s="74"/>
      <c r="H93" s="75"/>
      <c r="I93" s="77"/>
      <c r="J93" s="77"/>
      <c r="K93" s="77"/>
    </row>
    <row r="94" spans="2:11" x14ac:dyDescent="0.25">
      <c r="B94" s="75"/>
      <c r="C94" s="74"/>
      <c r="D94" s="75"/>
      <c r="E94" s="74"/>
      <c r="F94" s="75"/>
      <c r="G94" s="74"/>
      <c r="H94" s="75"/>
      <c r="I94" s="77"/>
      <c r="J94" s="77"/>
      <c r="K94" s="77"/>
    </row>
    <row r="95" spans="2:11" x14ac:dyDescent="0.25">
      <c r="B95" s="75"/>
      <c r="C95" s="74"/>
      <c r="D95" s="75"/>
      <c r="E95" s="74"/>
      <c r="F95" s="75"/>
      <c r="G95" s="74"/>
      <c r="H95" s="75"/>
      <c r="I95" s="77"/>
      <c r="J95" s="77"/>
      <c r="K95" s="77"/>
    </row>
    <row r="96" spans="2:11" x14ac:dyDescent="0.25">
      <c r="B96" s="75"/>
      <c r="C96" s="74"/>
      <c r="D96" s="75"/>
      <c r="E96" s="74"/>
      <c r="F96" s="75"/>
      <c r="G96" s="74"/>
      <c r="H96" s="75"/>
      <c r="I96" s="77"/>
      <c r="J96" s="77"/>
      <c r="K96" s="77"/>
    </row>
    <row r="97" spans="2:11" x14ac:dyDescent="0.25">
      <c r="B97" s="75"/>
      <c r="C97" s="74"/>
      <c r="D97" s="75"/>
      <c r="E97" s="74"/>
      <c r="F97" s="75"/>
      <c r="G97" s="74"/>
      <c r="H97" s="75"/>
      <c r="I97" s="77"/>
      <c r="J97" s="77"/>
      <c r="K97" s="77"/>
    </row>
    <row r="98" spans="2:11" x14ac:dyDescent="0.25">
      <c r="B98" s="75"/>
      <c r="C98" s="74"/>
      <c r="D98" s="75"/>
      <c r="E98" s="74"/>
      <c r="F98" s="75"/>
      <c r="G98" s="74"/>
      <c r="H98" s="75"/>
      <c r="I98" s="77"/>
      <c r="J98" s="77"/>
      <c r="K98" s="77"/>
    </row>
    <row r="99" spans="2:11" x14ac:dyDescent="0.25">
      <c r="B99" s="75"/>
      <c r="C99" s="74"/>
      <c r="D99" s="75"/>
      <c r="E99" s="74"/>
      <c r="F99" s="75"/>
      <c r="G99" s="74"/>
      <c r="H99" s="75"/>
      <c r="I99" s="77"/>
      <c r="J99" s="77"/>
      <c r="K99" s="77"/>
    </row>
    <row r="100" spans="2:11" x14ac:dyDescent="0.25">
      <c r="B100" s="75"/>
      <c r="C100" s="74"/>
      <c r="D100" s="75"/>
      <c r="E100" s="74"/>
      <c r="F100" s="75"/>
      <c r="G100" s="74"/>
      <c r="H100" s="75"/>
      <c r="I100" s="77"/>
      <c r="J100" s="77"/>
      <c r="K100" s="77"/>
    </row>
    <row r="101" spans="2:11" x14ac:dyDescent="0.25">
      <c r="B101" s="75"/>
      <c r="C101" s="74"/>
      <c r="D101" s="75"/>
      <c r="E101" s="74"/>
      <c r="F101" s="75"/>
      <c r="G101" s="74"/>
      <c r="H101" s="75"/>
      <c r="I101" s="77"/>
      <c r="J101" s="77"/>
      <c r="K101" s="77"/>
    </row>
    <row r="102" spans="2:11" x14ac:dyDescent="0.25">
      <c r="B102" s="75"/>
      <c r="C102" s="74"/>
      <c r="D102" s="75"/>
      <c r="E102" s="74"/>
      <c r="F102" s="75"/>
      <c r="G102" s="74"/>
      <c r="H102" s="75"/>
      <c r="I102" s="77"/>
      <c r="J102" s="77"/>
      <c r="K102" s="77"/>
    </row>
    <row r="103" spans="2:11" x14ac:dyDescent="0.25">
      <c r="B103" s="82"/>
      <c r="C103" s="81"/>
      <c r="D103" s="82"/>
      <c r="E103" s="81"/>
      <c r="F103" s="82"/>
      <c r="G103" s="81"/>
      <c r="H103" s="82"/>
      <c r="I103" s="112"/>
      <c r="J103" s="112"/>
      <c r="K103" s="112"/>
    </row>
  </sheetData>
  <sortState xmlns:xlrd2="http://schemas.microsoft.com/office/spreadsheetml/2017/richdata2" ref="B4:K18">
    <sortCondition ref="C4"/>
  </sortState>
  <mergeCells count="1">
    <mergeCell ref="B2:K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309AF5-A009-4764-A074-E147E9A14B7E}">
  <sheetPr codeName="Sheet4">
    <tabColor theme="1"/>
  </sheetPr>
  <dimension ref="B2:J30"/>
  <sheetViews>
    <sheetView zoomScale="80" zoomScaleNormal="80" workbookViewId="0"/>
  </sheetViews>
  <sheetFormatPr defaultRowHeight="15" x14ac:dyDescent="0.25"/>
  <cols>
    <col min="2" max="2" width="14.5703125" bestFit="1" customWidth="1"/>
    <col min="3" max="3" width="20.85546875" bestFit="1" customWidth="1"/>
    <col min="4" max="4" width="21.140625" bestFit="1" customWidth="1"/>
    <col min="5" max="5" width="22" bestFit="1" customWidth="1"/>
    <col min="6" max="6" width="21.140625" bestFit="1" customWidth="1"/>
    <col min="7" max="7" width="22" bestFit="1" customWidth="1"/>
    <col min="8" max="8" width="17.5703125" bestFit="1" customWidth="1"/>
    <col min="9" max="9" width="23" bestFit="1" customWidth="1"/>
    <col min="10" max="10" width="17.85546875" bestFit="1" customWidth="1"/>
  </cols>
  <sheetData>
    <row r="2" spans="2:10" x14ac:dyDescent="0.25">
      <c r="B2" s="346" t="s">
        <v>399</v>
      </c>
      <c r="C2" s="347"/>
      <c r="D2" s="348"/>
      <c r="E2" s="72"/>
      <c r="F2" s="71"/>
    </row>
    <row r="3" spans="2:10" x14ac:dyDescent="0.25">
      <c r="B3" s="73" t="s">
        <v>282</v>
      </c>
      <c r="C3" s="73" t="s">
        <v>384</v>
      </c>
      <c r="D3" s="73" t="s">
        <v>385</v>
      </c>
      <c r="E3" s="72"/>
      <c r="F3" s="71"/>
    </row>
    <row r="4" spans="2:10" x14ac:dyDescent="0.25">
      <c r="B4" s="78" t="s">
        <v>192</v>
      </c>
      <c r="C4" s="79">
        <v>0</v>
      </c>
      <c r="D4" s="80">
        <v>3750</v>
      </c>
    </row>
    <row r="5" spans="2:10" x14ac:dyDescent="0.25">
      <c r="B5" s="69" t="s">
        <v>195</v>
      </c>
      <c r="C5" s="74">
        <v>3751</v>
      </c>
      <c r="D5" s="75">
        <v>4750</v>
      </c>
    </row>
    <row r="6" spans="2:10" x14ac:dyDescent="0.25">
      <c r="B6" s="69" t="s">
        <v>198</v>
      </c>
      <c r="C6" s="74">
        <v>4756</v>
      </c>
      <c r="D6" s="75">
        <v>6250</v>
      </c>
    </row>
    <row r="7" spans="2:10" x14ac:dyDescent="0.25">
      <c r="B7" s="69" t="s">
        <v>201</v>
      </c>
      <c r="C7" s="74">
        <v>6256</v>
      </c>
      <c r="D7" s="75">
        <v>7500</v>
      </c>
    </row>
    <row r="8" spans="2:10" x14ac:dyDescent="0.25">
      <c r="B8" s="69" t="s">
        <v>205</v>
      </c>
      <c r="C8" s="74">
        <v>7501</v>
      </c>
      <c r="D8" s="75">
        <v>9620</v>
      </c>
    </row>
    <row r="9" spans="2:10" x14ac:dyDescent="0.25">
      <c r="B9" s="69" t="s">
        <v>212</v>
      </c>
      <c r="C9" s="74">
        <v>9621</v>
      </c>
      <c r="D9" s="75">
        <v>12500</v>
      </c>
    </row>
    <row r="10" spans="2:10" x14ac:dyDescent="0.25">
      <c r="B10" s="70" t="s">
        <v>213</v>
      </c>
      <c r="C10" s="81">
        <v>12501</v>
      </c>
      <c r="D10" s="82">
        <v>14250</v>
      </c>
    </row>
    <row r="13" spans="2:10" x14ac:dyDescent="0.25">
      <c r="B13" s="349" t="s">
        <v>396</v>
      </c>
      <c r="C13" s="350"/>
      <c r="D13" s="350"/>
      <c r="E13" s="350"/>
      <c r="F13" s="350"/>
      <c r="G13" s="350"/>
      <c r="H13" s="350"/>
      <c r="I13" s="350"/>
      <c r="J13" s="351"/>
    </row>
    <row r="14" spans="2:10" x14ac:dyDescent="0.25">
      <c r="B14" s="61" t="s">
        <v>282</v>
      </c>
      <c r="C14" s="61" t="s">
        <v>173</v>
      </c>
      <c r="D14" s="65" t="s">
        <v>412</v>
      </c>
      <c r="E14" s="61" t="s">
        <v>403</v>
      </c>
      <c r="F14" s="61" t="s">
        <v>284</v>
      </c>
      <c r="G14" s="64" t="s">
        <v>402</v>
      </c>
      <c r="H14" s="61" t="s">
        <v>404</v>
      </c>
      <c r="I14" s="65" t="s">
        <v>414</v>
      </c>
      <c r="J14" s="61" t="s">
        <v>400</v>
      </c>
    </row>
    <row r="15" spans="2:10" x14ac:dyDescent="0.25">
      <c r="B15" s="69" t="s">
        <v>192</v>
      </c>
      <c r="C15" s="75" t="s">
        <v>103</v>
      </c>
      <c r="D15" s="74" t="s">
        <v>702</v>
      </c>
      <c r="E15" s="75" t="s">
        <v>443</v>
      </c>
      <c r="F15" s="75" t="s">
        <v>405</v>
      </c>
      <c r="G15" s="74" t="s">
        <v>450</v>
      </c>
      <c r="H15" s="80" t="s">
        <v>415</v>
      </c>
      <c r="I15" s="83">
        <v>0.99</v>
      </c>
      <c r="J15" s="75">
        <v>5700</v>
      </c>
    </row>
    <row r="16" spans="2:10" x14ac:dyDescent="0.25">
      <c r="B16" s="69" t="s">
        <v>195</v>
      </c>
      <c r="C16" s="75" t="s">
        <v>103</v>
      </c>
      <c r="D16" s="74" t="s">
        <v>702</v>
      </c>
      <c r="E16" s="75" t="s">
        <v>444</v>
      </c>
      <c r="F16" s="75" t="s">
        <v>406</v>
      </c>
      <c r="G16" s="74" t="s">
        <v>451</v>
      </c>
      <c r="H16" s="75" t="s">
        <v>415</v>
      </c>
      <c r="I16" s="83">
        <v>0.99</v>
      </c>
      <c r="J16" s="75">
        <v>5700</v>
      </c>
    </row>
    <row r="17" spans="2:10" x14ac:dyDescent="0.25">
      <c r="B17" s="69" t="s">
        <v>198</v>
      </c>
      <c r="C17" s="75" t="s">
        <v>103</v>
      </c>
      <c r="D17" s="74" t="s">
        <v>702</v>
      </c>
      <c r="E17" s="75" t="s">
        <v>445</v>
      </c>
      <c r="F17" s="75" t="s">
        <v>407</v>
      </c>
      <c r="G17" s="74" t="s">
        <v>452</v>
      </c>
      <c r="H17" s="75" t="s">
        <v>415</v>
      </c>
      <c r="I17" s="83">
        <v>0.99</v>
      </c>
      <c r="J17" s="75">
        <v>5700</v>
      </c>
    </row>
    <row r="18" spans="2:10" x14ac:dyDescent="0.25">
      <c r="B18" s="69" t="s">
        <v>201</v>
      </c>
      <c r="C18" s="75" t="s">
        <v>103</v>
      </c>
      <c r="D18" s="74" t="s">
        <v>702</v>
      </c>
      <c r="E18" s="75" t="s">
        <v>446</v>
      </c>
      <c r="F18" s="75" t="s">
        <v>408</v>
      </c>
      <c r="G18" s="74" t="s">
        <v>453</v>
      </c>
      <c r="H18" s="75" t="s">
        <v>415</v>
      </c>
      <c r="I18" s="83">
        <v>0.99</v>
      </c>
      <c r="J18" s="75">
        <v>5700</v>
      </c>
    </row>
    <row r="19" spans="2:10" x14ac:dyDescent="0.25">
      <c r="B19" s="69" t="s">
        <v>205</v>
      </c>
      <c r="C19" s="75" t="s">
        <v>103</v>
      </c>
      <c r="D19" s="74" t="s">
        <v>702</v>
      </c>
      <c r="E19" s="75" t="s">
        <v>447</v>
      </c>
      <c r="F19" s="75" t="s">
        <v>409</v>
      </c>
      <c r="G19" s="74" t="s">
        <v>221</v>
      </c>
      <c r="H19" s="75" t="s">
        <v>415</v>
      </c>
      <c r="I19" s="83">
        <v>0.99</v>
      </c>
      <c r="J19" s="75">
        <v>6000</v>
      </c>
    </row>
    <row r="20" spans="2:10" x14ac:dyDescent="0.25">
      <c r="B20" s="69" t="s">
        <v>212</v>
      </c>
      <c r="C20" s="75" t="s">
        <v>103</v>
      </c>
      <c r="D20" s="74" t="s">
        <v>709</v>
      </c>
      <c r="E20" s="75" t="s">
        <v>448</v>
      </c>
      <c r="F20" s="75" t="s">
        <v>410</v>
      </c>
      <c r="G20" s="74" t="s">
        <v>454</v>
      </c>
      <c r="H20" s="75" t="s">
        <v>415</v>
      </c>
      <c r="I20" s="83">
        <v>0.99</v>
      </c>
      <c r="J20" s="75">
        <v>6000</v>
      </c>
    </row>
    <row r="21" spans="2:10" x14ac:dyDescent="0.25">
      <c r="B21" s="69" t="s">
        <v>213</v>
      </c>
      <c r="C21" s="75" t="s">
        <v>103</v>
      </c>
      <c r="D21" s="74" t="s">
        <v>709</v>
      </c>
      <c r="E21" s="75" t="s">
        <v>449</v>
      </c>
      <c r="F21" s="75" t="s">
        <v>411</v>
      </c>
      <c r="G21" s="74" t="s">
        <v>455</v>
      </c>
      <c r="H21" s="75" t="s">
        <v>415</v>
      </c>
      <c r="I21" s="83">
        <v>0.99</v>
      </c>
      <c r="J21" s="75">
        <v>6000</v>
      </c>
    </row>
    <row r="22" spans="2:10" x14ac:dyDescent="0.25">
      <c r="B22" s="69" t="s">
        <v>196</v>
      </c>
      <c r="C22" s="75" t="s">
        <v>103</v>
      </c>
      <c r="D22" s="74" t="s">
        <v>710</v>
      </c>
      <c r="E22" s="75" t="s">
        <v>443</v>
      </c>
      <c r="F22" s="75" t="s">
        <v>405</v>
      </c>
      <c r="G22" s="74" t="s">
        <v>456</v>
      </c>
      <c r="H22" s="75" t="s">
        <v>416</v>
      </c>
      <c r="I22" s="83">
        <v>0.97499999999999998</v>
      </c>
      <c r="J22" s="75">
        <v>5250</v>
      </c>
    </row>
    <row r="23" spans="2:10" x14ac:dyDescent="0.25">
      <c r="B23" s="69" t="s">
        <v>199</v>
      </c>
      <c r="C23" s="75" t="s">
        <v>103</v>
      </c>
      <c r="D23" s="74" t="s">
        <v>710</v>
      </c>
      <c r="E23" s="75" t="s">
        <v>444</v>
      </c>
      <c r="F23" s="75" t="s">
        <v>406</v>
      </c>
      <c r="G23" s="74" t="s">
        <v>457</v>
      </c>
      <c r="H23" s="75" t="s">
        <v>416</v>
      </c>
      <c r="I23" s="83">
        <v>0.98</v>
      </c>
      <c r="J23" s="75">
        <v>5250</v>
      </c>
    </row>
    <row r="24" spans="2:10" x14ac:dyDescent="0.25">
      <c r="B24" s="69" t="s">
        <v>202</v>
      </c>
      <c r="C24" s="75" t="s">
        <v>103</v>
      </c>
      <c r="D24" s="74" t="s">
        <v>710</v>
      </c>
      <c r="E24" s="75" t="s">
        <v>445</v>
      </c>
      <c r="F24" s="75" t="s">
        <v>407</v>
      </c>
      <c r="G24" s="74" t="s">
        <v>458</v>
      </c>
      <c r="H24" s="75" t="s">
        <v>416</v>
      </c>
      <c r="I24" s="83">
        <v>0.98</v>
      </c>
      <c r="J24" s="75">
        <v>5250</v>
      </c>
    </row>
    <row r="25" spans="2:10" x14ac:dyDescent="0.25">
      <c r="B25" s="69" t="s">
        <v>206</v>
      </c>
      <c r="C25" s="75" t="s">
        <v>103</v>
      </c>
      <c r="D25" s="74" t="s">
        <v>710</v>
      </c>
      <c r="E25" s="75" t="s">
        <v>446</v>
      </c>
      <c r="F25" s="75" t="s">
        <v>408</v>
      </c>
      <c r="G25" s="74" t="s">
        <v>459</v>
      </c>
      <c r="H25" s="75" t="s">
        <v>416</v>
      </c>
      <c r="I25" s="83">
        <v>0.97499999999999998</v>
      </c>
      <c r="J25" s="75">
        <v>5250</v>
      </c>
    </row>
    <row r="26" spans="2:10" x14ac:dyDescent="0.25">
      <c r="B26" s="69" t="s">
        <v>208</v>
      </c>
      <c r="C26" s="75" t="s">
        <v>103</v>
      </c>
      <c r="D26" s="74" t="s">
        <v>710</v>
      </c>
      <c r="E26" s="75" t="s">
        <v>447</v>
      </c>
      <c r="F26" s="75" t="s">
        <v>409</v>
      </c>
      <c r="G26" s="74" t="s">
        <v>460</v>
      </c>
      <c r="H26" s="75" t="s">
        <v>416</v>
      </c>
      <c r="I26" s="83">
        <v>0.97499999999999998</v>
      </c>
      <c r="J26" s="75">
        <v>5250</v>
      </c>
    </row>
    <row r="27" spans="2:10" x14ac:dyDescent="0.25">
      <c r="B27" s="69" t="s">
        <v>209</v>
      </c>
      <c r="C27" s="75" t="s">
        <v>103</v>
      </c>
      <c r="D27" s="74" t="s">
        <v>413</v>
      </c>
      <c r="E27" s="75" t="s">
        <v>448</v>
      </c>
      <c r="F27" s="75" t="s">
        <v>410</v>
      </c>
      <c r="G27" s="74" t="s">
        <v>455</v>
      </c>
      <c r="H27" s="75" t="s">
        <v>416</v>
      </c>
      <c r="I27" s="83">
        <v>0.97499999999999998</v>
      </c>
      <c r="J27" s="75">
        <v>5250</v>
      </c>
    </row>
    <row r="28" spans="2:10" x14ac:dyDescent="0.25">
      <c r="B28" s="70" t="s">
        <v>211</v>
      </c>
      <c r="C28" s="82" t="s">
        <v>103</v>
      </c>
      <c r="D28" s="81" t="s">
        <v>413</v>
      </c>
      <c r="E28" s="82" t="s">
        <v>449</v>
      </c>
      <c r="F28" s="82" t="s">
        <v>411</v>
      </c>
      <c r="G28" s="81" t="s">
        <v>461</v>
      </c>
      <c r="H28" s="82" t="s">
        <v>416</v>
      </c>
      <c r="I28" s="84">
        <v>0.97499999999999998</v>
      </c>
      <c r="J28" s="82">
        <v>5250</v>
      </c>
    </row>
    <row r="30" spans="2:10" x14ac:dyDescent="0.25">
      <c r="B30" t="s">
        <v>401</v>
      </c>
    </row>
  </sheetData>
  <mergeCells count="2">
    <mergeCell ref="B2:D2"/>
    <mergeCell ref="B13:J1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325C6E-A9D2-4208-BFFB-CA0BAAD5D10F}">
  <sheetPr codeName="Sheet5">
    <tabColor theme="1"/>
  </sheetPr>
  <dimension ref="B2:H11"/>
  <sheetViews>
    <sheetView zoomScale="80" zoomScaleNormal="80" workbookViewId="0"/>
  </sheetViews>
  <sheetFormatPr defaultRowHeight="15" x14ac:dyDescent="0.25"/>
  <cols>
    <col min="2" max="2" width="17" bestFit="1" customWidth="1"/>
    <col min="3" max="3" width="20.5703125" bestFit="1" customWidth="1"/>
    <col min="4" max="4" width="18.85546875" bestFit="1" customWidth="1"/>
    <col min="5" max="5" width="13.140625" bestFit="1" customWidth="1"/>
    <col min="6" max="6" width="18.42578125" bestFit="1" customWidth="1"/>
    <col min="7" max="7" width="19" bestFit="1" customWidth="1"/>
    <col min="8" max="8" width="27.5703125" bestFit="1" customWidth="1"/>
  </cols>
  <sheetData>
    <row r="2" spans="2:8" x14ac:dyDescent="0.25">
      <c r="B2" s="346" t="s">
        <v>417</v>
      </c>
      <c r="C2" s="347"/>
      <c r="D2" s="347"/>
      <c r="E2" s="347"/>
      <c r="F2" s="347"/>
      <c r="G2" s="347"/>
      <c r="H2" s="348"/>
    </row>
    <row r="3" spans="2:8" x14ac:dyDescent="0.25">
      <c r="B3" s="61" t="s">
        <v>398</v>
      </c>
      <c r="C3" s="65" t="s">
        <v>129</v>
      </c>
      <c r="D3" s="61" t="s">
        <v>284</v>
      </c>
      <c r="E3" s="65" t="s">
        <v>418</v>
      </c>
      <c r="F3" s="61" t="s">
        <v>419</v>
      </c>
      <c r="G3" s="66" t="s">
        <v>420</v>
      </c>
      <c r="H3" s="61" t="s">
        <v>421</v>
      </c>
    </row>
    <row r="4" spans="2:8" x14ac:dyDescent="0.25">
      <c r="B4" s="78" t="s">
        <v>194</v>
      </c>
      <c r="C4" s="80" t="s">
        <v>427</v>
      </c>
      <c r="D4" s="80" t="s">
        <v>375</v>
      </c>
      <c r="E4" s="80" t="s">
        <v>432</v>
      </c>
      <c r="F4" s="80" t="s">
        <v>435</v>
      </c>
      <c r="G4" s="314">
        <v>0.98799999999999999</v>
      </c>
      <c r="H4" s="78" t="s">
        <v>422</v>
      </c>
    </row>
    <row r="5" spans="2:8" x14ac:dyDescent="0.25">
      <c r="B5" s="68" t="s">
        <v>746</v>
      </c>
      <c r="C5" s="264" t="s">
        <v>747</v>
      </c>
      <c r="D5" s="264" t="s">
        <v>375</v>
      </c>
      <c r="E5" s="264" t="s">
        <v>432</v>
      </c>
      <c r="F5" s="264" t="s">
        <v>435</v>
      </c>
      <c r="G5" s="315">
        <v>0.98799999999999999</v>
      </c>
      <c r="H5" s="69" t="s">
        <v>422</v>
      </c>
    </row>
    <row r="6" spans="2:8" x14ac:dyDescent="0.25">
      <c r="B6" s="69" t="s">
        <v>197</v>
      </c>
      <c r="C6" s="75" t="s">
        <v>428</v>
      </c>
      <c r="D6" s="75" t="s">
        <v>375</v>
      </c>
      <c r="E6" s="75" t="s">
        <v>432</v>
      </c>
      <c r="F6" s="75" t="s">
        <v>436</v>
      </c>
      <c r="G6" s="315">
        <v>0.98799999999999999</v>
      </c>
      <c r="H6" s="69" t="s">
        <v>423</v>
      </c>
    </row>
    <row r="7" spans="2:8" x14ac:dyDescent="0.25">
      <c r="B7" s="69" t="s">
        <v>200</v>
      </c>
      <c r="C7" s="75" t="s">
        <v>429</v>
      </c>
      <c r="D7" s="75" t="s">
        <v>375</v>
      </c>
      <c r="E7" s="75" t="s">
        <v>433</v>
      </c>
      <c r="F7" s="75" t="s">
        <v>437</v>
      </c>
      <c r="G7" s="315">
        <v>0.98799999999999999</v>
      </c>
      <c r="H7" s="69" t="s">
        <v>424</v>
      </c>
    </row>
    <row r="8" spans="2:8" x14ac:dyDescent="0.25">
      <c r="B8" s="69" t="s">
        <v>204</v>
      </c>
      <c r="C8" s="75" t="s">
        <v>430</v>
      </c>
      <c r="D8" s="75" t="s">
        <v>375</v>
      </c>
      <c r="E8" s="75" t="s">
        <v>433</v>
      </c>
      <c r="F8" s="75" t="s">
        <v>438</v>
      </c>
      <c r="G8" s="315">
        <v>0.98799999999999999</v>
      </c>
      <c r="H8" s="69" t="s">
        <v>425</v>
      </c>
    </row>
    <row r="9" spans="2:8" x14ac:dyDescent="0.25">
      <c r="B9" s="70" t="s">
        <v>207</v>
      </c>
      <c r="C9" s="82" t="s">
        <v>431</v>
      </c>
      <c r="D9" s="82" t="s">
        <v>375</v>
      </c>
      <c r="E9" s="82" t="s">
        <v>434</v>
      </c>
      <c r="F9" s="82" t="s">
        <v>439</v>
      </c>
      <c r="G9" s="316">
        <v>0.98599999999999999</v>
      </c>
      <c r="H9" s="70" t="s">
        <v>426</v>
      </c>
    </row>
    <row r="11" spans="2:8" x14ac:dyDescent="0.25">
      <c r="B11" t="s">
        <v>440</v>
      </c>
    </row>
  </sheetData>
  <mergeCells count="1">
    <mergeCell ref="B2:H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00B0F0"/>
  </sheetPr>
  <dimension ref="A2:P69"/>
  <sheetViews>
    <sheetView tabSelected="1" zoomScale="80" zoomScaleNormal="80" workbookViewId="0"/>
  </sheetViews>
  <sheetFormatPr defaultRowHeight="15" x14ac:dyDescent="0.25"/>
  <cols>
    <col min="1" max="1" width="5.7109375" customWidth="1"/>
    <col min="3" max="3" width="42.140625" customWidth="1"/>
    <col min="4" max="4" width="32.42578125" customWidth="1"/>
    <col min="5" max="5" width="10.7109375" customWidth="1"/>
    <col min="6" max="6" width="30.7109375" customWidth="1"/>
    <col min="7" max="8" width="10.7109375" customWidth="1"/>
    <col min="9" max="9" width="9.7109375" customWidth="1"/>
    <col min="10" max="10" width="28.5703125" bestFit="1" customWidth="1"/>
    <col min="11" max="11" width="9.7109375" customWidth="1"/>
    <col min="13" max="13" width="9.140625" customWidth="1"/>
    <col min="14" max="14" width="29.42578125" customWidth="1"/>
    <col min="15" max="15" width="15.140625" customWidth="1"/>
    <col min="16" max="16" width="38.28515625" customWidth="1"/>
  </cols>
  <sheetData>
    <row r="2" spans="2:16" x14ac:dyDescent="0.25">
      <c r="B2" s="126"/>
      <c r="C2" s="127" t="s">
        <v>530</v>
      </c>
      <c r="D2" s="127"/>
      <c r="E2" s="127"/>
      <c r="F2" s="127"/>
      <c r="G2" s="127"/>
      <c r="H2" s="127"/>
      <c r="I2" s="127"/>
      <c r="J2" s="127"/>
      <c r="K2" s="127"/>
      <c r="L2" s="128"/>
    </row>
    <row r="3" spans="2:16" ht="18" customHeight="1" x14ac:dyDescent="0.25">
      <c r="B3" s="129"/>
      <c r="C3" s="387" t="s">
        <v>379</v>
      </c>
      <c r="D3" s="365"/>
      <c r="E3" s="108"/>
      <c r="F3" s="166"/>
      <c r="G3" s="108"/>
      <c r="H3" s="108"/>
      <c r="I3" s="108"/>
      <c r="J3" s="108"/>
      <c r="K3" s="108"/>
      <c r="L3" s="109"/>
      <c r="N3" s="322" t="s">
        <v>761</v>
      </c>
      <c r="O3" s="326" t="s">
        <v>774</v>
      </c>
      <c r="P3" s="323" t="s">
        <v>771</v>
      </c>
    </row>
    <row r="4" spans="2:16" ht="18" customHeight="1" x14ac:dyDescent="0.25">
      <c r="B4" s="129"/>
      <c r="C4" s="333" t="s">
        <v>291</v>
      </c>
      <c r="D4" s="331" t="s">
        <v>92</v>
      </c>
      <c r="E4" s="168"/>
      <c r="F4" s="168"/>
      <c r="G4" s="168"/>
      <c r="H4" s="108"/>
      <c r="I4" s="108"/>
      <c r="J4" s="108"/>
      <c r="K4" s="108"/>
      <c r="L4" s="109"/>
      <c r="N4" s="133" t="s">
        <v>762</v>
      </c>
      <c r="O4" s="327" t="s">
        <v>89</v>
      </c>
      <c r="P4" s="352" t="s">
        <v>775</v>
      </c>
    </row>
    <row r="5" spans="2:16" ht="18" customHeight="1" x14ac:dyDescent="0.25">
      <c r="B5" s="129"/>
      <c r="C5" s="334" t="s">
        <v>362</v>
      </c>
      <c r="D5" s="332" t="s">
        <v>751</v>
      </c>
      <c r="E5" s="335"/>
      <c r="F5" s="336"/>
      <c r="G5" s="336"/>
      <c r="H5" s="108"/>
      <c r="I5" s="108"/>
      <c r="J5" s="108"/>
      <c r="K5" s="108"/>
      <c r="L5" s="109"/>
      <c r="N5" s="133" t="s">
        <v>763</v>
      </c>
      <c r="O5" s="327" t="s">
        <v>89</v>
      </c>
      <c r="P5" s="353"/>
    </row>
    <row r="6" spans="2:16" ht="18" customHeight="1" x14ac:dyDescent="0.25">
      <c r="B6" s="129"/>
      <c r="C6" s="334" t="s">
        <v>527</v>
      </c>
      <c r="D6" s="388"/>
      <c r="E6" s="389"/>
      <c r="F6" s="389"/>
      <c r="G6" s="390"/>
      <c r="H6" s="384" t="str">
        <f>IF(SUM(COUNTIF(D6,{"*Bellwood*","*South Brunswick*","*Bensenville*","*Westmont*","*Charlotte*","*Waukegan*"})),"Check Permit Office Master List, AHJ has specific requirements!","Good.")</f>
        <v>Good.</v>
      </c>
      <c r="I6" s="385"/>
      <c r="J6" s="385"/>
      <c r="K6" s="385"/>
      <c r="L6" s="386"/>
      <c r="N6" s="133" t="s">
        <v>764</v>
      </c>
      <c r="O6" s="327" t="s">
        <v>89</v>
      </c>
      <c r="P6" s="354"/>
    </row>
    <row r="7" spans="2:16" ht="18" customHeight="1" x14ac:dyDescent="0.25">
      <c r="B7" s="129"/>
      <c r="C7" s="334" t="s">
        <v>298</v>
      </c>
      <c r="D7" s="394" t="s">
        <v>754</v>
      </c>
      <c r="E7" s="394"/>
      <c r="F7" s="394"/>
      <c r="G7" s="395"/>
      <c r="H7" s="391" t="str">
        <f>VLOOKUP(D7,'Utility &amp; Client Info'!C3:J101,8,FALSE)</f>
        <v>No additional requirements.</v>
      </c>
      <c r="I7" s="392"/>
      <c r="J7" s="392"/>
      <c r="K7" s="392"/>
      <c r="L7" s="393"/>
      <c r="N7" s="133" t="s">
        <v>766</v>
      </c>
      <c r="O7" s="327" t="s">
        <v>89</v>
      </c>
      <c r="P7" s="133" t="s">
        <v>769</v>
      </c>
    </row>
    <row r="8" spans="2:16" ht="18" customHeight="1" x14ac:dyDescent="0.25">
      <c r="B8" s="129"/>
      <c r="C8" s="337" t="s">
        <v>776</v>
      </c>
      <c r="D8" s="381">
        <v>2017</v>
      </c>
      <c r="E8" s="382"/>
      <c r="F8" s="382"/>
      <c r="G8" s="383"/>
      <c r="H8" s="384" t="str">
        <f>IF(OR(D5="IL",D5="FL"),"Use NEC 2014 unless there are specific AHJ requirements.","")</f>
        <v/>
      </c>
      <c r="I8" s="385"/>
      <c r="J8" s="385"/>
      <c r="K8" s="385"/>
      <c r="L8" s="386"/>
      <c r="N8" s="133" t="s">
        <v>765</v>
      </c>
      <c r="O8" s="327" t="s">
        <v>89</v>
      </c>
      <c r="P8" s="133" t="s">
        <v>770</v>
      </c>
    </row>
    <row r="9" spans="2:16" ht="50.25" customHeight="1" x14ac:dyDescent="0.25">
      <c r="B9" s="129"/>
      <c r="C9" s="330" t="s">
        <v>376</v>
      </c>
      <c r="D9" s="378" t="str">
        <f>IF(D4="", "", IFERROR(VLOOKUP(D4,'Utility &amp; Client Info'!Y3:Z10, 2, FALSE), "Error"))</f>
        <v>No wire smaller than 10 AWG or 3/4" conduit</v>
      </c>
      <c r="E9" s="379"/>
      <c r="F9" s="379"/>
      <c r="G9" s="379"/>
      <c r="H9" s="379"/>
      <c r="I9" s="380"/>
      <c r="J9" s="256"/>
      <c r="K9" s="256"/>
      <c r="L9" s="109"/>
      <c r="N9" s="324" t="s">
        <v>772</v>
      </c>
      <c r="O9" s="328" t="s">
        <v>89</v>
      </c>
      <c r="P9" s="325" t="s">
        <v>770</v>
      </c>
    </row>
    <row r="10" spans="2:16" ht="18" customHeight="1" x14ac:dyDescent="0.25">
      <c r="B10" s="129"/>
      <c r="C10" s="62"/>
      <c r="D10" s="62"/>
      <c r="E10" s="62"/>
      <c r="F10" s="62"/>
      <c r="G10" s="62"/>
      <c r="H10" s="168"/>
      <c r="I10" s="108"/>
      <c r="J10" s="108"/>
      <c r="K10" s="108"/>
      <c r="L10" s="109"/>
      <c r="N10" s="133" t="s">
        <v>767</v>
      </c>
      <c r="O10" s="327" t="s">
        <v>89</v>
      </c>
      <c r="P10" s="133" t="s">
        <v>768</v>
      </c>
    </row>
    <row r="11" spans="2:16" ht="18" customHeight="1" x14ac:dyDescent="0.25">
      <c r="B11" s="129"/>
      <c r="C11" s="364" t="s">
        <v>302</v>
      </c>
      <c r="D11" s="365"/>
      <c r="E11" s="108"/>
      <c r="F11" s="364" t="s">
        <v>296</v>
      </c>
      <c r="G11" s="365"/>
      <c r="H11" s="87" t="s">
        <v>469</v>
      </c>
      <c r="I11" s="108"/>
      <c r="J11" s="364" t="s">
        <v>292</v>
      </c>
      <c r="K11" s="365"/>
      <c r="L11" s="109"/>
    </row>
    <row r="12" spans="2:16" ht="18" customHeight="1" x14ac:dyDescent="0.25">
      <c r="B12" s="129"/>
      <c r="C12" s="121" t="s">
        <v>297</v>
      </c>
      <c r="D12" s="170" t="s">
        <v>682</v>
      </c>
      <c r="E12" s="108"/>
      <c r="F12" s="237" t="s">
        <v>293</v>
      </c>
      <c r="G12" s="170">
        <v>1</v>
      </c>
      <c r="H12" s="375">
        <f>SUM(G12:G14)</f>
        <v>1</v>
      </c>
      <c r="I12" s="108"/>
      <c r="J12" s="171" t="str">
        <f>IF(D4="Texas Energy Experts","0.4% DB High Temp (°C)","2% DB High Temp (°C)")</f>
        <v>2% DB High Temp (°C)</v>
      </c>
      <c r="K12" s="170">
        <v>25</v>
      </c>
      <c r="L12" s="109"/>
      <c r="N12" s="368" t="s">
        <v>773</v>
      </c>
      <c r="O12" s="368"/>
      <c r="P12" s="368"/>
    </row>
    <row r="13" spans="2:16" ht="18" customHeight="1" x14ac:dyDescent="0.25">
      <c r="B13" s="129"/>
      <c r="C13" s="89" t="s">
        <v>280</v>
      </c>
      <c r="D13" s="172">
        <v>1</v>
      </c>
      <c r="E13" s="108"/>
      <c r="F13" s="125" t="s">
        <v>294</v>
      </c>
      <c r="G13" s="173" t="str">
        <f>IF(D21=1,"N/A","xx")</f>
        <v>N/A</v>
      </c>
      <c r="H13" s="376"/>
      <c r="I13" s="108"/>
      <c r="J13" s="174" t="s">
        <v>225</v>
      </c>
      <c r="K13" s="175">
        <v>-25</v>
      </c>
      <c r="L13" s="109"/>
    </row>
    <row r="14" spans="2:16" ht="18" customHeight="1" x14ac:dyDescent="0.25">
      <c r="B14" s="129"/>
      <c r="C14" s="122" t="s">
        <v>282</v>
      </c>
      <c r="D14" s="172" t="s">
        <v>192</v>
      </c>
      <c r="E14" s="108"/>
      <c r="F14" s="176" t="s">
        <v>295</v>
      </c>
      <c r="G14" s="175" t="str">
        <f>IF(D21=1,"N/A",IF(D21=2,"N/A","xx"))</f>
        <v>N/A</v>
      </c>
      <c r="H14" s="377"/>
      <c r="I14" s="108"/>
      <c r="J14" s="166"/>
      <c r="K14" s="74"/>
      <c r="L14" s="109"/>
    </row>
    <row r="15" spans="2:16" ht="18" customHeight="1" x14ac:dyDescent="0.25">
      <c r="B15" s="129"/>
      <c r="C15" s="117" t="s">
        <v>377</v>
      </c>
      <c r="D15" s="172">
        <v>1</v>
      </c>
      <c r="E15" s="108"/>
      <c r="F15" s="366" t="str">
        <f>IF(OR(AND(ISNUMBER(G12),G12&lt;8),AND(ISNUMBER(G13),G13&lt;8),AND(ISNUMBER(G14),G14&lt;8)),"Error, minimum number of optimizers in series is 8.","")</f>
        <v>Error, minimum number of optimizers in series is 8.</v>
      </c>
      <c r="G15" s="366"/>
      <c r="H15" s="366"/>
      <c r="I15" s="108"/>
      <c r="J15" s="108"/>
      <c r="K15" s="108"/>
      <c r="L15" s="109"/>
    </row>
    <row r="16" spans="2:16" ht="18" customHeight="1" x14ac:dyDescent="0.25">
      <c r="B16" s="129"/>
      <c r="C16" s="123" t="s">
        <v>378</v>
      </c>
      <c r="D16" s="177">
        <v>1</v>
      </c>
      <c r="E16" s="108"/>
      <c r="F16" s="367" t="str">
        <f>IF(OR(AND(ISNUMBER(G12),G12&gt;D23),AND(ISNUMBER(G13),G13&gt;D23),AND(ISNUMBER(G14),G14&gt;D23)),CONCATENATE("Error, maximum string size is ",D23),"")</f>
        <v/>
      </c>
      <c r="G16" s="367"/>
      <c r="H16" s="367"/>
      <c r="I16" s="108"/>
      <c r="J16" s="108"/>
      <c r="K16" s="108"/>
      <c r="L16" s="109"/>
    </row>
    <row r="17" spans="2:16" ht="18" customHeight="1" x14ac:dyDescent="0.25">
      <c r="B17" s="129"/>
      <c r="C17" s="318" t="s">
        <v>749</v>
      </c>
      <c r="D17" s="320" t="s">
        <v>89</v>
      </c>
      <c r="E17" s="108"/>
      <c r="F17" s="317"/>
      <c r="G17" s="317"/>
      <c r="H17" s="317"/>
      <c r="I17" s="108"/>
      <c r="J17" s="108"/>
      <c r="K17" s="108"/>
      <c r="L17" s="109"/>
    </row>
    <row r="18" spans="2:16" ht="18" customHeight="1" x14ac:dyDescent="0.25">
      <c r="B18" s="129"/>
      <c r="C18" s="318" t="s">
        <v>748</v>
      </c>
      <c r="D18" s="320" t="s">
        <v>89</v>
      </c>
      <c r="E18" s="108"/>
      <c r="F18" s="317"/>
      <c r="G18" s="317"/>
      <c r="H18" s="317"/>
      <c r="I18" s="108"/>
      <c r="J18" s="108"/>
      <c r="K18" s="108"/>
      <c r="L18" s="109"/>
    </row>
    <row r="19" spans="2:16" ht="18" customHeight="1" thickBot="1" x14ac:dyDescent="0.3">
      <c r="B19" s="129"/>
      <c r="C19" s="178" t="s">
        <v>490</v>
      </c>
      <c r="D19" s="319" t="s">
        <v>89</v>
      </c>
      <c r="E19" s="108"/>
      <c r="F19" s="67" t="str">
        <f>IF((ISNUMBER(SEARCH("DUKE",D7))),"Duke always does line-side tap, change 'Is there space for PV Breaker?' to 'No'","")</f>
        <v/>
      </c>
      <c r="G19" s="108"/>
      <c r="H19" s="108"/>
      <c r="I19" s="108"/>
      <c r="J19" s="108"/>
      <c r="K19" s="108"/>
      <c r="L19" s="109"/>
    </row>
    <row r="20" spans="2:16" ht="18" customHeight="1" x14ac:dyDescent="0.25">
      <c r="B20" s="129"/>
      <c r="C20" s="89" t="s">
        <v>398</v>
      </c>
      <c r="D20" s="224" t="str">
        <f>VLOOKUP(D12,Panels!B4:K103,10,FALSE)</f>
        <v>P320</v>
      </c>
      <c r="E20" s="108"/>
      <c r="F20" s="108"/>
      <c r="G20" s="108"/>
      <c r="H20" s="108"/>
      <c r="I20" s="108"/>
      <c r="J20" s="108"/>
      <c r="K20" s="108"/>
      <c r="L20" s="109"/>
    </row>
    <row r="21" spans="2:16" ht="18" customHeight="1" thickBot="1" x14ac:dyDescent="0.3">
      <c r="B21" s="129"/>
      <c r="C21" s="120" t="s">
        <v>468</v>
      </c>
      <c r="D21" s="225">
        <f>ROUNDUP(D13/D23,0)</f>
        <v>1</v>
      </c>
      <c r="E21" s="108"/>
      <c r="F21" s="373" t="s">
        <v>463</v>
      </c>
      <c r="G21" s="374"/>
      <c r="H21" s="108"/>
      <c r="I21" s="108"/>
      <c r="J21" s="108"/>
      <c r="K21" s="108"/>
      <c r="L21" s="109"/>
      <c r="N21" s="180"/>
      <c r="O21" s="180"/>
    </row>
    <row r="22" spans="2:16" ht="18" customHeight="1" x14ac:dyDescent="0.25">
      <c r="B22" s="129"/>
      <c r="C22" s="257" t="s">
        <v>442</v>
      </c>
      <c r="D22" s="181" t="str">
        <f>LOOKUP(D24,1/(Inverters!C4:C10&lt;=D24)/(Inverters!D4:D10&gt;=D24),Inverters!B4:B10)</f>
        <v>SE3000H-US</v>
      </c>
      <c r="E22" s="108"/>
      <c r="F22" s="179" t="s">
        <v>464</v>
      </c>
      <c r="G22" s="220" t="str">
        <f>CONCATENATE(ROUND(LEFT(VLOOKUP(D12,Panels!B4:K103,5,FALSE),LEN(VLOOKUP(D12,Panels!B4:K103,5,FALSE))-1)+((K13-25)*(LEFT(VLOOKUP(D12,Panels!B4:K103,5,FALSE),LEN(VLOOKUP(D12,Panels!B4:K103,5,FALSE))-1)*(LEFT(VLOOKUP(D12,Panels!B4:K103,7,FALSE),LEN(VLOOKUP(D12,Panels!B4:K103,7,FALSE))-4)/100))),2),"V")</f>
        <v>45.33V</v>
      </c>
      <c r="H22" s="108"/>
      <c r="I22" s="108"/>
      <c r="J22" s="108"/>
      <c r="K22" s="108"/>
      <c r="L22" s="109"/>
      <c r="N22" s="180"/>
      <c r="O22" s="180"/>
    </row>
    <row r="23" spans="2:16" ht="18" customHeight="1" x14ac:dyDescent="0.25">
      <c r="B23" s="129"/>
      <c r="C23" s="125" t="s">
        <v>283</v>
      </c>
      <c r="D23" s="183">
        <f>ROUNDDOWN(VLOOKUP(D14,Inverters!B15:J28,9,FALSE)/LEFT(VLOOKUP(D12,Panels!B4:K103,2,FALSE),LEN(VLOOKUP(D12,Panels!B4:K103,2,FALSE))-1),0)</f>
        <v>19</v>
      </c>
      <c r="E23" s="108"/>
      <c r="F23" s="182" t="s">
        <v>465</v>
      </c>
      <c r="G23" s="221" t="str">
        <f>VLOOKUP(D20,Optimizers!B4:H9,5,FALSE)</f>
        <v>48V</v>
      </c>
      <c r="H23" s="108"/>
      <c r="I23" s="108"/>
      <c r="J23" s="108"/>
      <c r="K23" s="108"/>
      <c r="L23" s="109"/>
      <c r="N23" s="180"/>
      <c r="O23" s="180"/>
    </row>
    <row r="24" spans="2:16" ht="18" customHeight="1" x14ac:dyDescent="0.25">
      <c r="B24" s="129"/>
      <c r="C24" s="125" t="s">
        <v>290</v>
      </c>
      <c r="D24" s="183">
        <f>D13*LEFT(VLOOKUP(D12,Panels!B4:K103,2,FALSE),LEN(VLOOKUP(D12,Panels!B4:K103,2,FALSE))-1)</f>
        <v>300</v>
      </c>
      <c r="E24" s="108"/>
      <c r="F24" s="182" t="s">
        <v>466</v>
      </c>
      <c r="G24" s="222" t="str">
        <f>VLOOKUP(D12,Panels!B4:K103,3,FALSE)</f>
        <v>9.77A</v>
      </c>
      <c r="H24" s="67"/>
      <c r="I24" s="108"/>
      <c r="J24" s="108"/>
      <c r="K24" s="108"/>
      <c r="L24" s="109"/>
      <c r="N24" s="180"/>
      <c r="O24" s="180"/>
      <c r="P24" s="134"/>
    </row>
    <row r="25" spans="2:16" ht="18" customHeight="1" x14ac:dyDescent="0.25">
      <c r="B25" s="129"/>
      <c r="C25" s="176" t="s">
        <v>383</v>
      </c>
      <c r="D25" s="258" t="str">
        <f>IF((LEFT(VLOOKUP(D14,Inverters!B15:J28,5,FALSE),LEN(VLOOKUP(D14,Inverters!B15:J28,5,FALSE))-1)*1.25)&gt;((1.2*D16)-D15),"No","Yes")</f>
        <v>No</v>
      </c>
      <c r="E25" s="108"/>
      <c r="F25" s="184" t="s">
        <v>467</v>
      </c>
      <c r="G25" s="223" t="str">
        <f>VLOOKUP(D20,Optimizers!B4:H9,4,FALSE)</f>
        <v>11A</v>
      </c>
      <c r="H25" s="67"/>
      <c r="I25" s="108"/>
      <c r="J25" s="108"/>
      <c r="K25" s="108"/>
      <c r="L25" s="109"/>
    </row>
    <row r="26" spans="2:16" ht="18" customHeight="1" x14ac:dyDescent="0.25">
      <c r="B26" s="129"/>
      <c r="C26" s="108"/>
      <c r="D26" s="108"/>
      <c r="E26" s="108"/>
      <c r="F26" s="108"/>
      <c r="G26" s="108"/>
      <c r="H26" s="108"/>
      <c r="I26" s="108"/>
      <c r="J26" s="108"/>
      <c r="K26" s="108"/>
      <c r="L26" s="109"/>
    </row>
    <row r="27" spans="2:16" ht="18" customHeight="1" x14ac:dyDescent="0.25">
      <c r="B27" s="129"/>
      <c r="C27" s="364" t="s">
        <v>361</v>
      </c>
      <c r="D27" s="372"/>
      <c r="E27" s="372"/>
      <c r="F27" s="372"/>
      <c r="G27" s="372"/>
      <c r="H27" s="372"/>
      <c r="I27" s="372"/>
      <c r="J27" s="118" t="s">
        <v>529</v>
      </c>
      <c r="K27" s="85"/>
      <c r="L27" s="109"/>
    </row>
    <row r="28" spans="2:16" ht="18" customHeight="1" x14ac:dyDescent="0.25">
      <c r="B28" s="129"/>
      <c r="C28" s="185" t="s">
        <v>528</v>
      </c>
      <c r="D28" s="369" t="str">
        <f>IF(LEFT(VLOOKUP(D7,'Utility &amp; Client Info'!C3:H101,4,FALSE),2)="PV",IF(LEFT(VLOOKUP(D7,'Utility &amp; Client Info'!C3:H101,2,FALSE),2)="No","PV Meter","PV Meter, AC Disconnect"), IF(LEFT(VLOOKUP(D7,'Utility &amp; Client Info'!C3:H101,4,FALSE),2)="AC", IF(LEFT(VLOOKUP(D7,'Utility &amp; Client Info'!C3:H101,3,FALSE),2)="No","AC Disconnect (if needed)","AC Disconnect, PV Meter")))</f>
        <v>AC Disconnect (if needed)</v>
      </c>
      <c r="E28" s="370"/>
      <c r="F28" s="370"/>
      <c r="G28" s="370"/>
      <c r="H28" s="370"/>
      <c r="I28" s="371"/>
      <c r="J28" s="220" t="str">
        <f>IF(AND(LEFT(D28,1)="A",J29="Yes",J30="Yes"),"AC Disconnect, PV Meter",IF(AND(LEFT(D28,1)="A",J29="Yes",J30="No"),"AC Disconnect",IF(AND(LEFT(D28,1)="A",J29="No",J30="No"),"N/A",IF(AND(LEFT(D28,1)="P",J29="Yes",J30="Yes"),"PV Meter, AC Disconnect",IF(AND(LEFT(D28,1)="P",J29="No",J30="Yes"),"PV Meter","Error!")))))</f>
        <v>AC Disconnect</v>
      </c>
      <c r="K28" s="62"/>
      <c r="L28" s="109"/>
    </row>
    <row r="29" spans="2:16" ht="18" customHeight="1" x14ac:dyDescent="0.25">
      <c r="B29" s="129"/>
      <c r="C29" s="264" t="s">
        <v>331</v>
      </c>
      <c r="D29" s="355" t="str">
        <f>IF(D7="", "", VLOOKUP(D7, 'Utility &amp; Client Info'!C3:H101, 2, FALSE))</f>
        <v>Yes</v>
      </c>
      <c r="E29" s="356"/>
      <c r="F29" s="356"/>
      <c r="G29" s="356"/>
      <c r="H29" s="356"/>
      <c r="I29" s="357"/>
      <c r="J29" s="221" t="str">
        <f>IF(AND(LEFT(D29,1)="N",J31="No"),"No","Yes")</f>
        <v>Yes</v>
      </c>
      <c r="K29" s="62"/>
      <c r="L29" s="109"/>
    </row>
    <row r="30" spans="2:16" ht="18" customHeight="1" x14ac:dyDescent="0.25">
      <c r="B30" s="129"/>
      <c r="C30" s="125" t="s">
        <v>357</v>
      </c>
      <c r="D30" s="355" t="str">
        <f>IF(D7="", "", VLOOKUP(D7, 'Utility &amp; Client Info'!C3:H101, 3, FALSE))</f>
        <v>No</v>
      </c>
      <c r="E30" s="356"/>
      <c r="F30" s="356"/>
      <c r="G30" s="356"/>
      <c r="H30" s="356"/>
      <c r="I30" s="357"/>
      <c r="J30" s="222" t="str">
        <f>IF(LEFT(D30,1)="N","No","Yes")</f>
        <v>No</v>
      </c>
      <c r="K30" s="62"/>
      <c r="L30" s="109"/>
    </row>
    <row r="31" spans="2:16" ht="18" customHeight="1" x14ac:dyDescent="0.25">
      <c r="B31" s="129"/>
      <c r="C31" s="124" t="s">
        <v>367</v>
      </c>
      <c r="D31" s="358" t="str">
        <f>IF(D7="", "", VLOOKUP(D7, 'Utility &amp; Client Info'!C3:H101, 5, FALSE))</f>
        <v>No</v>
      </c>
      <c r="E31" s="359"/>
      <c r="F31" s="359"/>
      <c r="G31" s="359"/>
      <c r="H31" s="359"/>
      <c r="I31" s="360"/>
      <c r="J31" s="223" t="str">
        <f>IF(AND(D19="Yes",D25="Yes"),"No","Yes")</f>
        <v>Yes</v>
      </c>
      <c r="K31" s="186"/>
      <c r="L31" s="109"/>
    </row>
    <row r="32" spans="2:16" ht="18" customHeight="1" x14ac:dyDescent="0.25">
      <c r="B32" s="129"/>
      <c r="C32" s="187" t="s">
        <v>360</v>
      </c>
      <c r="D32" s="361" t="str">
        <f>IF(D7="", "", IF(VLOOKUP(D7, 'Utility &amp; Client Info'!C3:H101, 6, FALSE) = "", "Not Required", VLOOKUP(D7, 'Utility &amp; Client Info'!C3:H101, 6, FALSE)))</f>
        <v>Yes</v>
      </c>
      <c r="E32" s="362"/>
      <c r="F32" s="362"/>
      <c r="G32" s="362"/>
      <c r="H32" s="362"/>
      <c r="I32" s="363"/>
      <c r="J32" s="62"/>
      <c r="K32" s="62"/>
      <c r="L32" s="109"/>
    </row>
    <row r="33" spans="2:12" ht="18" customHeight="1" x14ac:dyDescent="0.25">
      <c r="B33" s="129"/>
      <c r="C33" s="108"/>
      <c r="D33" s="108"/>
      <c r="E33" s="108"/>
      <c r="F33" s="108"/>
      <c r="G33" s="108"/>
      <c r="H33" s="108"/>
      <c r="I33" s="108"/>
      <c r="J33" s="108"/>
      <c r="K33" s="108"/>
      <c r="L33" s="109"/>
    </row>
    <row r="34" spans="2:12" ht="18" customHeight="1" x14ac:dyDescent="0.25">
      <c r="B34" s="129"/>
      <c r="C34" s="119" t="s">
        <v>380</v>
      </c>
      <c r="D34" s="108"/>
      <c r="E34" s="108"/>
      <c r="F34" s="108"/>
      <c r="G34" s="108"/>
      <c r="H34" s="108"/>
      <c r="I34" s="108"/>
      <c r="J34" s="108"/>
      <c r="K34" s="108"/>
      <c r="L34" s="109"/>
    </row>
    <row r="35" spans="2:12" ht="18" customHeight="1" x14ac:dyDescent="0.25">
      <c r="B35" s="129"/>
      <c r="C35" s="108" t="s">
        <v>381</v>
      </c>
      <c r="D35" s="108"/>
      <c r="E35" s="108"/>
      <c r="F35" s="108"/>
      <c r="G35" s="108"/>
      <c r="H35" s="108"/>
      <c r="I35" s="108"/>
      <c r="J35" s="108"/>
      <c r="K35" s="108"/>
      <c r="L35" s="109"/>
    </row>
    <row r="36" spans="2:12" ht="18" customHeight="1" x14ac:dyDescent="0.25">
      <c r="B36" s="129"/>
      <c r="C36" s="108" t="s">
        <v>382</v>
      </c>
      <c r="D36" s="108"/>
      <c r="E36" s="108"/>
      <c r="F36" s="108"/>
      <c r="G36" s="108"/>
      <c r="H36" s="108"/>
      <c r="I36" s="108"/>
      <c r="J36" s="108"/>
      <c r="K36" s="108"/>
      <c r="L36" s="109"/>
    </row>
    <row r="37" spans="2:12" ht="18" customHeight="1" x14ac:dyDescent="0.25">
      <c r="B37" s="129"/>
      <c r="C37" s="108" t="s">
        <v>392</v>
      </c>
      <c r="D37" s="108"/>
      <c r="E37" s="108"/>
      <c r="F37" s="108"/>
      <c r="G37" s="108"/>
      <c r="H37" s="108"/>
      <c r="I37" s="108"/>
      <c r="J37" s="108"/>
      <c r="K37" s="108"/>
      <c r="L37" s="109"/>
    </row>
    <row r="38" spans="2:12" ht="18" customHeight="1" x14ac:dyDescent="0.25">
      <c r="B38" s="130"/>
      <c r="C38" s="110"/>
      <c r="D38" s="110"/>
      <c r="E38" s="110"/>
      <c r="F38" s="110"/>
      <c r="G38" s="110"/>
      <c r="H38" s="110"/>
      <c r="I38" s="110"/>
      <c r="J38" s="110"/>
      <c r="K38" s="110"/>
      <c r="L38" s="111"/>
    </row>
    <row r="58" spans="1:2" x14ac:dyDescent="0.25">
      <c r="A58" s="114"/>
      <c r="B58" s="114"/>
    </row>
    <row r="59" spans="1:2" x14ac:dyDescent="0.25">
      <c r="A59" s="114"/>
      <c r="B59" s="114"/>
    </row>
    <row r="69" spans="13:16" x14ac:dyDescent="0.25">
      <c r="M69" s="188"/>
      <c r="N69" s="188"/>
      <c r="O69" s="188"/>
      <c r="P69" s="188"/>
    </row>
  </sheetData>
  <mergeCells count="23">
    <mergeCell ref="C3:D3"/>
    <mergeCell ref="D6:G6"/>
    <mergeCell ref="H6:L6"/>
    <mergeCell ref="J11:K11"/>
    <mergeCell ref="C11:D11"/>
    <mergeCell ref="H7:L7"/>
    <mergeCell ref="D7:G7"/>
    <mergeCell ref="P4:P6"/>
    <mergeCell ref="D29:I29"/>
    <mergeCell ref="D30:I30"/>
    <mergeCell ref="D31:I31"/>
    <mergeCell ref="D32:I32"/>
    <mergeCell ref="F11:G11"/>
    <mergeCell ref="F15:H15"/>
    <mergeCell ref="F16:H16"/>
    <mergeCell ref="N12:P12"/>
    <mergeCell ref="D28:I28"/>
    <mergeCell ref="C27:I27"/>
    <mergeCell ref="F21:G21"/>
    <mergeCell ref="H12:H14"/>
    <mergeCell ref="D9:I9"/>
    <mergeCell ref="D8:G8"/>
    <mergeCell ref="H8:L8"/>
  </mergeCells>
  <conditionalFormatting sqref="A41:B68 A31:B35">
    <cfRule type="containsText" dxfId="67" priority="5" operator="containsText" text="Yes">
      <formula>NOT(ISERROR(SEARCH("Yes",A31)))</formula>
    </cfRule>
  </conditionalFormatting>
  <conditionalFormatting sqref="M69:P69">
    <cfRule type="expression" dxfId="66" priority="36">
      <formula>#REF!&gt;#REF!</formula>
    </cfRule>
  </conditionalFormatting>
  <conditionalFormatting sqref="D16:D19">
    <cfRule type="expression" dxfId="65" priority="37">
      <formula>IF(AND($D$15&lt;&gt;"", $D$16&lt;&gt;""), $D$15&gt;$D$16, "")</formula>
    </cfRule>
  </conditionalFormatting>
  <conditionalFormatting sqref="H12:H14">
    <cfRule type="expression" dxfId="64" priority="2">
      <formula>$H$12=$D$13</formula>
    </cfRule>
  </conditionalFormatting>
  <dataValidations count="3">
    <dataValidation type="list" allowBlank="1" showInputMessage="1" showErrorMessage="1" sqref="D7" xr:uid="{00000000-0002-0000-0000-000003000000}">
      <formula1>INDIRECT(D5)</formula1>
    </dataValidation>
    <dataValidation type="list" allowBlank="1" showInputMessage="1" showErrorMessage="1" sqref="D17:D19 O4:O10" xr:uid="{6AEE6C1B-500E-4235-AC20-1D7F9C6C5928}">
      <formula1>"Yes, No"</formula1>
    </dataValidation>
    <dataValidation type="list" allowBlank="1" showInputMessage="1" showErrorMessage="1" sqref="D8:G8" xr:uid="{0BD68866-A702-4D98-8557-2569D73F3A76}">
      <formula1>"2017, 2014, 2011"</formula1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000-000001000000}">
          <x14:formula1>
            <xm:f>Panels!$B$4:$B$103</xm:f>
          </x14:formula1>
          <xm:sqref>D12</xm:sqref>
        </x14:dataValidation>
        <x14:dataValidation type="list" allowBlank="1" showInputMessage="1" showErrorMessage="1" xr:uid="{00000000-0002-0000-0000-000002000000}">
          <x14:formula1>
            <xm:f>'Utility &amp; Client Info'!$L$4:$L$53</xm:f>
          </x14:formula1>
          <xm:sqref>D5</xm:sqref>
        </x14:dataValidation>
        <x14:dataValidation type="list" allowBlank="1" showInputMessage="1" showErrorMessage="1" xr:uid="{00000000-0002-0000-0000-000000000000}">
          <x14:formula1>
            <xm:f>Inverters!$B$15:$B$28</xm:f>
          </x14:formula1>
          <xm:sqref>D14</xm:sqref>
        </x14:dataValidation>
        <x14:dataValidation type="list" allowBlank="1" showInputMessage="1" showErrorMessage="1" xr:uid="{95484DE3-6A3B-4D3A-8435-7A1B68E37202}">
          <x14:formula1>
            <xm:f>'Utility &amp; Client Info'!$Y$3:$Y$10</xm:f>
          </x14:formula1>
          <xm:sqref>D4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7B8618-9BC4-4C2F-8BD0-C3C3B4B04283}">
  <sheetPr codeName="Sheet1">
    <tabColor rgb="FF00B0F0"/>
  </sheetPr>
  <dimension ref="B2:Y77"/>
  <sheetViews>
    <sheetView zoomScale="80" zoomScaleNormal="80" workbookViewId="0">
      <selection activeCell="Y23" sqref="Y23"/>
    </sheetView>
  </sheetViews>
  <sheetFormatPr defaultRowHeight="12.75" x14ac:dyDescent="0.2"/>
  <cols>
    <col min="1" max="1" width="5.7109375" style="1" customWidth="1"/>
    <col min="2" max="22" width="10.7109375" style="1" customWidth="1"/>
    <col min="23" max="23" width="5.7109375" style="1" customWidth="1"/>
    <col min="24" max="24" width="30.7109375" style="1" customWidth="1"/>
    <col min="25" max="25" width="61.5703125" style="1" customWidth="1"/>
    <col min="26" max="26" width="5.7109375" style="1" customWidth="1"/>
    <col min="27" max="38" width="10.7109375" style="1" customWidth="1"/>
    <col min="39" max="16384" width="9.140625" style="1"/>
  </cols>
  <sheetData>
    <row r="2" spans="2:25" x14ac:dyDescent="0.2">
      <c r="B2" s="398" t="s">
        <v>532</v>
      </c>
      <c r="C2" s="400"/>
      <c r="D2" s="400"/>
      <c r="E2" s="400"/>
      <c r="F2" s="400"/>
      <c r="G2" s="400"/>
      <c r="H2" s="400"/>
      <c r="I2" s="400"/>
      <c r="J2" s="400"/>
      <c r="K2" s="400"/>
      <c r="L2" s="400"/>
      <c r="M2" s="400"/>
      <c r="N2" s="400"/>
      <c r="O2" s="400"/>
      <c r="P2" s="400"/>
      <c r="Q2" s="400"/>
      <c r="R2" s="400"/>
      <c r="S2" s="400"/>
      <c r="T2" s="400"/>
      <c r="U2" s="400"/>
      <c r="V2" s="399"/>
      <c r="X2" s="446" t="s">
        <v>278</v>
      </c>
      <c r="Y2" s="446"/>
    </row>
    <row r="3" spans="2:25" x14ac:dyDescent="0.2">
      <c r="B3" s="410"/>
      <c r="C3" s="411"/>
      <c r="D3" s="411"/>
      <c r="E3" s="411"/>
      <c r="F3" s="411"/>
      <c r="G3" s="411"/>
      <c r="H3" s="411"/>
      <c r="I3" s="411"/>
      <c r="J3" s="411"/>
      <c r="K3" s="411"/>
      <c r="L3" s="411"/>
      <c r="M3" s="411"/>
      <c r="N3" s="411"/>
      <c r="O3" s="411"/>
      <c r="P3" s="411"/>
      <c r="Q3" s="411"/>
      <c r="R3" s="411"/>
      <c r="S3" s="411"/>
      <c r="T3" s="411"/>
      <c r="U3" s="411"/>
      <c r="V3" s="412"/>
      <c r="X3" s="273" t="s">
        <v>525</v>
      </c>
      <c r="Y3" s="278" t="str">
        <f>VLOOKUP(Input!D7,'Utility &amp; Client Info'!C3:I101,7,FALSE)</f>
        <v>BG&amp;E</v>
      </c>
    </row>
    <row r="4" spans="2:25" x14ac:dyDescent="0.2">
      <c r="B4" s="42"/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8"/>
      <c r="X4" s="273" t="s">
        <v>279</v>
      </c>
      <c r="Y4" s="274">
        <f>Calculations!BL19</f>
        <v>12.5</v>
      </c>
    </row>
    <row r="5" spans="2:25" x14ac:dyDescent="0.2">
      <c r="B5" s="42"/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  <c r="T5" s="25"/>
      <c r="U5" s="25"/>
      <c r="V5" s="28"/>
      <c r="X5" s="273" t="s">
        <v>643</v>
      </c>
      <c r="Y5" s="274">
        <f>Input!D15</f>
        <v>1</v>
      </c>
    </row>
    <row r="6" spans="2:25" x14ac:dyDescent="0.2">
      <c r="B6" s="42"/>
      <c r="C6" s="401" t="s">
        <v>98</v>
      </c>
      <c r="D6" s="402"/>
      <c r="E6" s="402"/>
      <c r="F6" s="402"/>
      <c r="G6" s="402"/>
      <c r="H6" s="402"/>
      <c r="I6" s="402"/>
      <c r="J6" s="403"/>
      <c r="K6" s="94"/>
      <c r="L6" s="94"/>
      <c r="M6" s="94"/>
      <c r="N6" s="94"/>
      <c r="O6" s="94"/>
      <c r="P6" s="94"/>
      <c r="Q6" s="94"/>
      <c r="R6" s="94"/>
      <c r="S6" s="94"/>
      <c r="T6" s="94"/>
      <c r="U6" s="94"/>
      <c r="V6" s="28"/>
      <c r="X6" s="273" t="s">
        <v>642</v>
      </c>
      <c r="Y6" s="283">
        <f>Input!D16</f>
        <v>1</v>
      </c>
    </row>
    <row r="7" spans="2:25" x14ac:dyDescent="0.2">
      <c r="B7" s="42"/>
      <c r="C7" s="397"/>
      <c r="D7" s="397"/>
      <c r="E7" s="397"/>
      <c r="F7" s="397"/>
      <c r="G7" s="397"/>
      <c r="H7" s="97" t="s">
        <v>135</v>
      </c>
      <c r="I7" s="97" t="s">
        <v>216</v>
      </c>
      <c r="J7" s="97" t="s">
        <v>217</v>
      </c>
      <c r="K7" s="94"/>
      <c r="L7" s="94"/>
      <c r="M7" s="94"/>
      <c r="N7" s="94"/>
      <c r="O7" s="94"/>
      <c r="P7" s="94"/>
      <c r="Q7" s="94"/>
      <c r="R7" s="94"/>
      <c r="S7" s="94"/>
      <c r="T7" s="94"/>
      <c r="U7" s="94"/>
      <c r="V7" s="28"/>
      <c r="X7" s="273" t="s">
        <v>275</v>
      </c>
      <c r="Y7" s="274">
        <f>LOOKUP(Calculations!AS8,1/(Calculations!$AB$8:$AB$44&lt;=Calculations!AS8)/(Calculations!$AC$8:$AC$44&gt;=Calculations!AS8),Calculations!$AA$8:$AA$44)</f>
        <v>20</v>
      </c>
    </row>
    <row r="8" spans="2:25" x14ac:dyDescent="0.2">
      <c r="B8" s="42"/>
      <c r="C8" s="404" t="s">
        <v>137</v>
      </c>
      <c r="D8" s="404"/>
      <c r="E8" s="404"/>
      <c r="F8" s="404"/>
      <c r="G8" s="404"/>
      <c r="H8" s="97" t="str">
        <f>$K$20</f>
        <v>15A</v>
      </c>
      <c r="I8" s="97" t="str">
        <f>IF(I9="N/A","N/A",$K$20)</f>
        <v>N/A</v>
      </c>
      <c r="J8" s="97" t="str">
        <f>IF(J9="N/A","N/A",$K$20)</f>
        <v>N/A</v>
      </c>
      <c r="K8" s="94"/>
      <c r="L8" s="94"/>
      <c r="M8" s="94"/>
      <c r="N8" s="94"/>
      <c r="O8" s="94"/>
      <c r="P8" s="94"/>
      <c r="Q8" s="94"/>
      <c r="R8" s="405" t="s">
        <v>138</v>
      </c>
      <c r="S8" s="406"/>
      <c r="T8" s="406"/>
      <c r="U8" s="407"/>
      <c r="V8" s="28"/>
      <c r="X8" s="273" t="s">
        <v>276</v>
      </c>
      <c r="Y8" s="274">
        <f>IF(AND(OR(Y17="Regrowth Specific Line Diagram",Y17="Line-Side Tap in Meter",Y17="Line-Side Tap in MSP"),Y7&lt;31),60,(LOOKUP(Calculations!AS8,1/(Calculations!$AB$52:$AB$58&lt;=Calculations!AS8)/(Calculations!$AC$52:$AC$58&gt;=Calculations!AS8),Calculations!$AA$52:$AA$58)))</f>
        <v>30</v>
      </c>
    </row>
    <row r="9" spans="2:25" x14ac:dyDescent="0.2">
      <c r="B9" s="42"/>
      <c r="C9" s="404" t="s">
        <v>142</v>
      </c>
      <c r="D9" s="404"/>
      <c r="E9" s="404"/>
      <c r="F9" s="404"/>
      <c r="G9" s="404"/>
      <c r="H9" s="97">
        <f>Input!G12</f>
        <v>1</v>
      </c>
      <c r="I9" s="97" t="str">
        <f>Input!G13</f>
        <v>N/A</v>
      </c>
      <c r="J9" s="97" t="str">
        <f>Input!G14</f>
        <v>N/A</v>
      </c>
      <c r="K9" s="50"/>
      <c r="L9" s="94"/>
      <c r="M9" s="94"/>
      <c r="N9" s="94"/>
      <c r="O9" s="94"/>
      <c r="P9" s="94"/>
      <c r="Q9" s="94"/>
      <c r="R9" s="404" t="s">
        <v>143</v>
      </c>
      <c r="S9" s="404"/>
      <c r="T9" s="408" t="str">
        <f>Input!D14</f>
        <v>SE3000H-US</v>
      </c>
      <c r="U9" s="408"/>
      <c r="V9" s="28"/>
      <c r="X9" s="273" t="s">
        <v>125</v>
      </c>
      <c r="Y9" s="274" t="str">
        <f>Input!D20</f>
        <v>P320</v>
      </c>
    </row>
    <row r="10" spans="2:25" x14ac:dyDescent="0.2">
      <c r="B10" s="42"/>
      <c r="C10" s="404" t="s">
        <v>146</v>
      </c>
      <c r="D10" s="404"/>
      <c r="E10" s="404"/>
      <c r="F10" s="404"/>
      <c r="G10" s="404"/>
      <c r="H10" s="401" t="str">
        <f>CONCATENATE(C16*LEFT(H16,3),"W")</f>
        <v>300W</v>
      </c>
      <c r="I10" s="402"/>
      <c r="J10" s="403"/>
      <c r="L10" s="94"/>
      <c r="M10" s="94"/>
      <c r="N10" s="94"/>
      <c r="O10" s="94"/>
      <c r="P10" s="94"/>
      <c r="Q10" s="94"/>
      <c r="R10" s="404" t="s">
        <v>147</v>
      </c>
      <c r="S10" s="404"/>
      <c r="T10" s="409" t="str">
        <f>CONCATENATE(VLOOKUP(T9,Inverters!B15:J28,9,FALSE),"W")</f>
        <v>5700W</v>
      </c>
      <c r="U10" s="409"/>
      <c r="V10" s="28"/>
      <c r="X10" s="273" t="s">
        <v>127</v>
      </c>
      <c r="Y10" s="274" t="str">
        <f>Calculations!BL6</f>
        <v>SE3000H-US</v>
      </c>
    </row>
    <row r="11" spans="2:25" x14ac:dyDescent="0.2">
      <c r="B11" s="42"/>
      <c r="C11" s="404" t="s">
        <v>100</v>
      </c>
      <c r="D11" s="404"/>
      <c r="E11" s="404"/>
      <c r="F11" s="404"/>
      <c r="G11" s="404"/>
      <c r="H11" s="401" t="str">
        <f>N25</f>
        <v>12.5A</v>
      </c>
      <c r="I11" s="402"/>
      <c r="J11" s="403"/>
      <c r="K11" s="94"/>
      <c r="L11" s="94"/>
      <c r="M11" s="94"/>
      <c r="N11" s="94"/>
      <c r="O11" s="94"/>
      <c r="P11" s="94"/>
      <c r="Q11" s="94"/>
      <c r="R11" s="404" t="s">
        <v>151</v>
      </c>
      <c r="S11" s="404"/>
      <c r="T11" s="409" t="str">
        <f>H16</f>
        <v>300W</v>
      </c>
      <c r="U11" s="409"/>
      <c r="V11" s="28"/>
      <c r="X11" s="273" t="s">
        <v>272</v>
      </c>
      <c r="Y11" s="274">
        <f>Output!H9</f>
        <v>1</v>
      </c>
    </row>
    <row r="12" spans="2:25" x14ac:dyDescent="0.2">
      <c r="B12" s="42"/>
      <c r="C12" s="404" t="s">
        <v>154</v>
      </c>
      <c r="D12" s="404"/>
      <c r="E12" s="404"/>
      <c r="F12" s="404"/>
      <c r="G12" s="404"/>
      <c r="H12" s="401" t="str">
        <f>L25</f>
        <v>3000W</v>
      </c>
      <c r="I12" s="402"/>
      <c r="J12" s="403"/>
      <c r="K12" s="94"/>
      <c r="L12" s="94"/>
      <c r="M12" s="94"/>
      <c r="N12" s="94"/>
      <c r="O12" s="94"/>
      <c r="P12" s="94"/>
      <c r="Q12" s="94"/>
      <c r="R12" s="404" t="s">
        <v>155</v>
      </c>
      <c r="S12" s="404"/>
      <c r="T12" s="408">
        <f>Input!D23</f>
        <v>19</v>
      </c>
      <c r="U12" s="408"/>
      <c r="V12" s="28"/>
      <c r="X12" s="273" t="s">
        <v>273</v>
      </c>
      <c r="Y12" s="274" t="str">
        <f>Output!I9</f>
        <v>N/A</v>
      </c>
    </row>
    <row r="13" spans="2:25" x14ac:dyDescent="0.2">
      <c r="B13" s="42"/>
      <c r="C13" s="26"/>
      <c r="D13" s="26"/>
      <c r="E13" s="26"/>
      <c r="F13" s="26"/>
      <c r="G13" s="26"/>
      <c r="H13" s="26"/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8"/>
      <c r="X13" s="273" t="s">
        <v>274</v>
      </c>
      <c r="Y13" s="275" t="str">
        <f>Output!J9</f>
        <v>N/A</v>
      </c>
    </row>
    <row r="14" spans="2:25" x14ac:dyDescent="0.2">
      <c r="B14" s="42"/>
      <c r="C14" s="405" t="s">
        <v>162</v>
      </c>
      <c r="D14" s="406"/>
      <c r="E14" s="406"/>
      <c r="F14" s="406"/>
      <c r="G14" s="406"/>
      <c r="H14" s="406"/>
      <c r="I14" s="406"/>
      <c r="J14" s="406"/>
      <c r="K14" s="406"/>
      <c r="L14" s="406"/>
      <c r="M14" s="406"/>
      <c r="N14" s="406"/>
      <c r="O14" s="406"/>
      <c r="P14" s="406"/>
      <c r="Q14" s="406"/>
      <c r="R14" s="406"/>
      <c r="S14" s="406"/>
      <c r="T14" s="406"/>
      <c r="U14" s="407"/>
      <c r="V14" s="28"/>
      <c r="X14" s="398" t="s">
        <v>544</v>
      </c>
      <c r="Y14" s="399"/>
    </row>
    <row r="15" spans="2:25" x14ac:dyDescent="0.2">
      <c r="B15" s="42"/>
      <c r="C15" s="405" t="s">
        <v>218</v>
      </c>
      <c r="D15" s="407"/>
      <c r="E15" s="396" t="s">
        <v>101</v>
      </c>
      <c r="F15" s="396"/>
      <c r="G15" s="396"/>
      <c r="H15" s="396" t="s">
        <v>165</v>
      </c>
      <c r="I15" s="396"/>
      <c r="J15" s="396" t="s">
        <v>166</v>
      </c>
      <c r="K15" s="396"/>
      <c r="L15" s="396" t="s">
        <v>167</v>
      </c>
      <c r="M15" s="396"/>
      <c r="N15" s="396" t="s">
        <v>168</v>
      </c>
      <c r="O15" s="396"/>
      <c r="P15" s="396" t="s">
        <v>169</v>
      </c>
      <c r="Q15" s="396"/>
      <c r="R15" s="396" t="s">
        <v>170</v>
      </c>
      <c r="S15" s="396"/>
      <c r="T15" s="396" t="s">
        <v>171</v>
      </c>
      <c r="U15" s="396"/>
      <c r="V15" s="28"/>
      <c r="X15" s="41" t="s">
        <v>331</v>
      </c>
      <c r="Y15" s="278" t="str">
        <f>IF(Input!J29="No","Not Needed",CONCATENATE(IF(ISNUMBER(SEARCH("VISIBLE",Input!D29)),"Visible, ",IF(ISNUMBER(SEARCH("Generator Isolation Device",Input!D29)),"Generator Isolation Device, ","")),IF(Y17="PV Breaker","Non-Fused","Fused")))</f>
        <v>Fused</v>
      </c>
    </row>
    <row r="16" spans="2:25" x14ac:dyDescent="0.2">
      <c r="B16" s="42"/>
      <c r="C16" s="401">
        <f>SUM(H9:J9)</f>
        <v>1</v>
      </c>
      <c r="D16" s="403"/>
      <c r="E16" s="397" t="str">
        <f>Input!D12</f>
        <v>HANWHA Q.PEAK-G4.1 300W</v>
      </c>
      <c r="F16" s="397"/>
      <c r="G16" s="397"/>
      <c r="H16" s="397" t="str">
        <f>VLOOKUP($E$16,Panels!$B$4:$K$103,2,FALSE)</f>
        <v>300W</v>
      </c>
      <c r="I16" s="397"/>
      <c r="J16" s="397" t="str">
        <f>VLOOKUP($E$16,Panels!$B$4:$K$103,3,FALSE)</f>
        <v>9.77A</v>
      </c>
      <c r="K16" s="397"/>
      <c r="L16" s="397" t="str">
        <f>VLOOKUP($E$16,Panels!$B$4:$K$103,4,FALSE)</f>
        <v>9.26A</v>
      </c>
      <c r="M16" s="397"/>
      <c r="N16" s="397" t="str">
        <f>VLOOKUP($E$16,Panels!$B$4:$K$103,5,FALSE)</f>
        <v>39.76V</v>
      </c>
      <c r="O16" s="397"/>
      <c r="P16" s="397" t="str">
        <f>VLOOKUP($E$16,Panels!$B$4:$K$103,6,FALSE)</f>
        <v>32.41V</v>
      </c>
      <c r="Q16" s="397"/>
      <c r="R16" s="397" t="str">
        <f>VLOOKUP($E$16,Panels!$B$4:$K$103,7,FALSE)</f>
        <v>-0.28%/°C</v>
      </c>
      <c r="S16" s="397"/>
      <c r="T16" s="397" t="str">
        <f>VLOOKUP($E$16,Panels!$B$4:$K$103,8,FALSE)</f>
        <v>20A</v>
      </c>
      <c r="U16" s="397"/>
      <c r="V16" s="28"/>
      <c r="X16" s="42" t="s">
        <v>357</v>
      </c>
      <c r="Y16" s="279" t="str">
        <f>IF(ISNUMBER(SEARCH("Regrowth",Input!D7)),"Regrowth Meter",IF(Input!J30="No","Not Needed",IF(ISNUMBER(SEARCH("MA SMART",Input!D30)),"MA Smart Generation Meter",IF(ISNUMBER(SEARCH("CUSTOMER",Input!D30)),"Customer Generation Meter","PV Meter"))))</f>
        <v>Not Needed</v>
      </c>
    </row>
    <row r="17" spans="2:25" x14ac:dyDescent="0.2">
      <c r="B17" s="42"/>
      <c r="C17" s="27"/>
      <c r="D17" s="27"/>
      <c r="E17" s="27"/>
      <c r="F17" s="27"/>
      <c r="G17" s="27"/>
      <c r="H17" s="27"/>
      <c r="I17" s="27"/>
      <c r="J17" s="27"/>
      <c r="K17" s="27"/>
      <c r="L17" s="27"/>
      <c r="M17" s="27"/>
      <c r="N17" s="27"/>
      <c r="O17" s="27"/>
      <c r="P17" s="27"/>
      <c r="Q17" s="27"/>
      <c r="R17" s="27"/>
      <c r="S17" s="27"/>
      <c r="T17" s="27"/>
      <c r="U17" s="27"/>
      <c r="V17" s="28"/>
      <c r="X17" s="42" t="s">
        <v>491</v>
      </c>
      <c r="Y17" s="279" t="str">
        <f>IF(ISNUMBER(SEARCH("Regrowth",Input!D7)),"Regrowth Specific Line Diagram",IF(AND((ISNUMBER(SEARCH("DUKE",Input!D7))),Input!D17="Yes"),"Line-Side Tap in Meter",IF(AND(Input!D18="No",OR(Input!D19="No",Input!D25="No")),"Load-Side Tap or Upgrade",IF(Input!J31="Yes","Line-Side Tap in MSP","PV Breaker"))))</f>
        <v>Load-Side Tap or Upgrade</v>
      </c>
    </row>
    <row r="18" spans="2:25" x14ac:dyDescent="0.2">
      <c r="B18" s="42"/>
      <c r="C18" s="396" t="s">
        <v>177</v>
      </c>
      <c r="D18" s="396"/>
      <c r="E18" s="396"/>
      <c r="F18" s="396"/>
      <c r="G18" s="396"/>
      <c r="H18" s="396"/>
      <c r="I18" s="396"/>
      <c r="J18" s="396"/>
      <c r="K18" s="396"/>
      <c r="L18" s="396"/>
      <c r="M18" s="396"/>
      <c r="N18" s="396"/>
      <c r="O18" s="396"/>
      <c r="P18" s="396"/>
      <c r="Q18" s="396"/>
      <c r="R18" s="396"/>
      <c r="S18" s="396"/>
      <c r="T18" s="396"/>
      <c r="U18" s="396"/>
      <c r="V18" s="28"/>
      <c r="X18" s="44" t="s">
        <v>526</v>
      </c>
      <c r="Y18" s="280" t="str">
        <f>IF(Input!D32="Yes","New Bi-Directional","Existing")</f>
        <v>New Bi-Directional</v>
      </c>
    </row>
    <row r="19" spans="2:25" x14ac:dyDescent="0.2">
      <c r="B19" s="42"/>
      <c r="C19" s="405" t="s">
        <v>218</v>
      </c>
      <c r="D19" s="407"/>
      <c r="E19" s="396" t="s">
        <v>101</v>
      </c>
      <c r="F19" s="396"/>
      <c r="G19" s="396"/>
      <c r="H19" s="396" t="s">
        <v>178</v>
      </c>
      <c r="I19" s="396"/>
      <c r="J19" s="396"/>
      <c r="K19" s="413" t="s">
        <v>99</v>
      </c>
      <c r="L19" s="413"/>
      <c r="M19" s="413"/>
      <c r="N19" s="396" t="s">
        <v>179</v>
      </c>
      <c r="O19" s="396"/>
      <c r="P19" s="396"/>
      <c r="Q19" s="396" t="s">
        <v>180</v>
      </c>
      <c r="R19" s="396"/>
      <c r="S19" s="396" t="s">
        <v>181</v>
      </c>
      <c r="T19" s="396"/>
      <c r="U19" s="396"/>
      <c r="V19" s="28"/>
      <c r="X19" s="281" t="s">
        <v>492</v>
      </c>
      <c r="Y19" s="281" t="s">
        <v>11</v>
      </c>
    </row>
    <row r="20" spans="2:25" x14ac:dyDescent="0.2">
      <c r="B20" s="42"/>
      <c r="C20" s="401">
        <f>SUM(H9:J9)</f>
        <v>1</v>
      </c>
      <c r="D20" s="403"/>
      <c r="E20" s="397" t="str">
        <f>CONCATENATE("SOLAREDGE ",Input!D20)</f>
        <v>SOLAREDGE P320</v>
      </c>
      <c r="F20" s="397"/>
      <c r="G20" s="397"/>
      <c r="H20" s="397" t="str">
        <f>VLOOKUP(Input!$D$20,Optimizers!$B$4:$H$9,2,FALSE)</f>
        <v>320W</v>
      </c>
      <c r="I20" s="397"/>
      <c r="J20" s="397"/>
      <c r="K20" s="396" t="str">
        <f>VLOOKUP(Input!$D$20,Optimizers!$B$4:$H$9,3,FALSE)</f>
        <v>15A</v>
      </c>
      <c r="L20" s="396"/>
      <c r="M20" s="396"/>
      <c r="N20" s="397" t="str">
        <f>VLOOKUP(Input!$D$20,Optimizers!$B$4:$H$9,4,FALSE)</f>
        <v>11A</v>
      </c>
      <c r="O20" s="397"/>
      <c r="P20" s="397"/>
      <c r="Q20" s="397" t="str">
        <f>VLOOKUP(Input!$D$20,Optimizers!$B$4:$H$9,5,FALSE)</f>
        <v>48V</v>
      </c>
      <c r="R20" s="397"/>
      <c r="S20" s="423">
        <f>VLOOKUP(Input!$D$20,Optimizers!$B$4:$H$9,6,FALSE)</f>
        <v>0.98799999999999999</v>
      </c>
      <c r="T20" s="423"/>
      <c r="U20" s="423"/>
      <c r="V20" s="28"/>
      <c r="X20" s="41" t="s">
        <v>331</v>
      </c>
      <c r="Y20" s="278">
        <f>IF(Input!J29="No","Not Needed",IF(AND(Input!J30="Yes",LEFT(Input!D28,1)="A"),4,3))</f>
        <v>3</v>
      </c>
    </row>
    <row r="21" spans="2:25" x14ac:dyDescent="0.2">
      <c r="B21" s="42"/>
      <c r="C21" s="27"/>
      <c r="D21" s="27"/>
      <c r="E21" s="27"/>
      <c r="F21" s="27"/>
      <c r="G21" s="27"/>
      <c r="H21" s="27"/>
      <c r="I21" s="27"/>
      <c r="J21" s="27"/>
      <c r="K21" s="27"/>
      <c r="L21" s="27"/>
      <c r="M21" s="27"/>
      <c r="N21" s="27"/>
      <c r="O21" s="27"/>
      <c r="P21" s="27"/>
      <c r="Q21" s="27"/>
      <c r="R21" s="27"/>
      <c r="S21" s="27"/>
      <c r="T21" s="27"/>
      <c r="U21" s="27"/>
      <c r="V21" s="28"/>
      <c r="X21" s="42" t="s">
        <v>357</v>
      </c>
      <c r="Y21" s="279" t="str">
        <f>IF(Input!J30="No","Not Needed",IF(AND(Input!J29="Yes",LEFT(Input!D28,1)="P"),4,3))</f>
        <v>Not Needed</v>
      </c>
    </row>
    <row r="22" spans="2:25" x14ac:dyDescent="0.2">
      <c r="B22" s="42"/>
      <c r="C22" s="396" t="s">
        <v>183</v>
      </c>
      <c r="D22" s="396"/>
      <c r="E22" s="396"/>
      <c r="F22" s="396"/>
      <c r="G22" s="396"/>
      <c r="H22" s="396"/>
      <c r="I22" s="396"/>
      <c r="J22" s="424"/>
      <c r="K22" s="424"/>
      <c r="L22" s="424"/>
      <c r="M22" s="424"/>
      <c r="N22" s="396"/>
      <c r="O22" s="396"/>
      <c r="P22" s="396"/>
      <c r="Q22" s="396"/>
      <c r="R22" s="396"/>
      <c r="S22" s="396"/>
      <c r="T22" s="396"/>
      <c r="U22" s="396"/>
      <c r="V22" s="28"/>
      <c r="X22" s="42" t="s">
        <v>491</v>
      </c>
      <c r="Y22" s="279">
        <f>IF(AND(Input!J29="No",Input!J30="No"),3,IF(AND(Input!J29="Yes",Input!J30="Yes"),5,4))</f>
        <v>4</v>
      </c>
    </row>
    <row r="23" spans="2:25" x14ac:dyDescent="0.2">
      <c r="B23" s="42"/>
      <c r="C23" s="414" t="s">
        <v>218</v>
      </c>
      <c r="D23" s="415"/>
      <c r="E23" s="413" t="s">
        <v>101</v>
      </c>
      <c r="F23" s="413"/>
      <c r="G23" s="413"/>
      <c r="H23" s="413" t="s">
        <v>102</v>
      </c>
      <c r="I23" s="413"/>
      <c r="J23" s="414" t="s">
        <v>184</v>
      </c>
      <c r="K23" s="415"/>
      <c r="L23" s="419" t="s">
        <v>185</v>
      </c>
      <c r="M23" s="420"/>
      <c r="N23" s="418" t="s">
        <v>99</v>
      </c>
      <c r="O23" s="418"/>
      <c r="P23" s="418" t="s">
        <v>186</v>
      </c>
      <c r="Q23" s="418"/>
      <c r="R23" s="418" t="s">
        <v>187</v>
      </c>
      <c r="S23" s="418"/>
      <c r="T23" s="418" t="s">
        <v>188</v>
      </c>
      <c r="U23" s="418"/>
      <c r="V23" s="28"/>
      <c r="X23" s="44" t="s">
        <v>112</v>
      </c>
      <c r="Y23" s="280">
        <f>IF(Input!D7="National Grid - Regrowth Program (REG)",3,IF(Input!J31="Yes",Y20,Y22))</f>
        <v>3</v>
      </c>
    </row>
    <row r="24" spans="2:25" ht="15" customHeight="1" x14ac:dyDescent="0.2">
      <c r="B24" s="42"/>
      <c r="C24" s="416"/>
      <c r="D24" s="417"/>
      <c r="E24" s="413"/>
      <c r="F24" s="413"/>
      <c r="G24" s="413"/>
      <c r="H24" s="413"/>
      <c r="I24" s="413"/>
      <c r="J24" s="416"/>
      <c r="K24" s="417"/>
      <c r="L24" s="421"/>
      <c r="M24" s="422"/>
      <c r="N24" s="418"/>
      <c r="O24" s="418"/>
      <c r="P24" s="418"/>
      <c r="Q24" s="418"/>
      <c r="R24" s="418"/>
      <c r="S24" s="418"/>
      <c r="T24" s="418"/>
      <c r="U24" s="418"/>
      <c r="V24" s="28"/>
      <c r="X24" s="31"/>
      <c r="Y24" s="31"/>
    </row>
    <row r="25" spans="2:25" ht="15" customHeight="1" x14ac:dyDescent="0.2">
      <c r="B25" s="42"/>
      <c r="C25" s="401">
        <v>1</v>
      </c>
      <c r="D25" s="403"/>
      <c r="E25" s="397" t="str">
        <f>CONCATENATE("SOLAREDGE ",Input!D14)</f>
        <v>SOLAREDGE SE3000H-US</v>
      </c>
      <c r="F25" s="397"/>
      <c r="G25" s="397"/>
      <c r="H25" s="397" t="str">
        <f>VLOOKUP(Input!$D$14,Inverters!$B$15:$J$28,2,FALSE)</f>
        <v>240V</v>
      </c>
      <c r="I25" s="397"/>
      <c r="J25" s="397" t="str">
        <f>VLOOKUP(Input!$D$14,Inverters!$B$15:$J$28,3,FALSE)</f>
        <v>50A</v>
      </c>
      <c r="K25" s="397"/>
      <c r="L25" s="397" t="str">
        <f>VLOOKUP(Input!$D$14,Inverters!$B$15:$J$28,4,FALSE)</f>
        <v>3000W</v>
      </c>
      <c r="M25" s="397"/>
      <c r="N25" s="397" t="str">
        <f>VLOOKUP(Input!$D$14,Inverters!$B$15:$J$28,5,FALSE)</f>
        <v>12.5A</v>
      </c>
      <c r="O25" s="397"/>
      <c r="P25" s="397" t="str">
        <f>VLOOKUP(Input!$D$14,Inverters!$B$15:$J$28,6,FALSE)</f>
        <v>8.5A</v>
      </c>
      <c r="Q25" s="397"/>
      <c r="R25" s="397" t="str">
        <f>VLOOKUP(Input!$D$14,Inverters!$B$15:$J$28,7,FALSE)</f>
        <v>480V</v>
      </c>
      <c r="S25" s="397"/>
      <c r="T25" s="425">
        <f>VLOOKUP(Input!$D$14,Inverters!$B$15:$J$28,8,FALSE)</f>
        <v>0.99</v>
      </c>
      <c r="U25" s="425"/>
      <c r="V25" s="28"/>
      <c r="X25" s="31"/>
      <c r="Y25" s="31"/>
    </row>
    <row r="26" spans="2:25" ht="15.75" customHeight="1" x14ac:dyDescent="0.2">
      <c r="B26" s="42"/>
      <c r="C26" s="27"/>
      <c r="D26" s="27"/>
      <c r="E26" s="27"/>
      <c r="F26" s="27"/>
      <c r="G26" s="27"/>
      <c r="H26" s="27"/>
      <c r="I26" s="27"/>
      <c r="J26" s="26"/>
      <c r="K26" s="26"/>
      <c r="L26" s="26"/>
      <c r="M26" s="26"/>
      <c r="N26" s="27"/>
      <c r="O26" s="27"/>
      <c r="P26" s="27"/>
      <c r="Q26" s="27"/>
      <c r="R26" s="27"/>
      <c r="S26" s="27"/>
      <c r="T26" s="27"/>
      <c r="U26" s="27"/>
      <c r="V26" s="28"/>
      <c r="X26" s="31"/>
      <c r="Y26" s="31"/>
    </row>
    <row r="27" spans="2:25" ht="15" customHeight="1" x14ac:dyDescent="0.2">
      <c r="B27" s="42"/>
      <c r="C27" s="397" t="s">
        <v>104</v>
      </c>
      <c r="D27" s="397"/>
      <c r="E27" s="397"/>
      <c r="F27" s="397"/>
      <c r="G27" s="397"/>
      <c r="H27" s="397"/>
      <c r="I27" s="397"/>
      <c r="J27" s="397"/>
      <c r="K27" s="397" t="s">
        <v>105</v>
      </c>
      <c r="L27" s="397"/>
      <c r="M27" s="397"/>
      <c r="N27" s="397"/>
      <c r="O27" s="397"/>
      <c r="P27" s="397"/>
      <c r="Q27" s="397"/>
      <c r="R27" s="397"/>
      <c r="S27" s="397"/>
      <c r="T27" s="397"/>
      <c r="U27" s="397"/>
      <c r="V27" s="28"/>
      <c r="X27" s="31"/>
      <c r="Y27" s="31"/>
    </row>
    <row r="28" spans="2:25" ht="15" customHeight="1" x14ac:dyDescent="0.2">
      <c r="B28" s="42"/>
      <c r="C28" s="401" t="s">
        <v>218</v>
      </c>
      <c r="D28" s="403"/>
      <c r="E28" s="397" t="s">
        <v>106</v>
      </c>
      <c r="F28" s="397"/>
      <c r="G28" s="397"/>
      <c r="H28" s="397" t="s">
        <v>107</v>
      </c>
      <c r="I28" s="397"/>
      <c r="J28" s="397"/>
      <c r="K28" s="401" t="s">
        <v>99</v>
      </c>
      <c r="L28" s="402"/>
      <c r="M28" s="402"/>
      <c r="N28" s="403"/>
      <c r="O28" s="426" t="s">
        <v>108</v>
      </c>
      <c r="P28" s="427"/>
      <c r="Q28" s="428"/>
      <c r="R28" s="426" t="s">
        <v>602</v>
      </c>
      <c r="S28" s="427"/>
      <c r="T28" s="427"/>
      <c r="U28" s="428"/>
      <c r="V28" s="28"/>
      <c r="X28" s="31"/>
      <c r="Y28" s="31"/>
    </row>
    <row r="29" spans="2:25" ht="15" customHeight="1" x14ac:dyDescent="0.2">
      <c r="B29" s="42"/>
      <c r="C29" s="401">
        <v>1</v>
      </c>
      <c r="D29" s="403"/>
      <c r="E29" s="429" t="str">
        <f>CONCATENATE(LOOKUP(Calculations!BK45,1/(Calculations!$AB$8:$AB$44&lt;=Calculations!BK45)/(Calculations!$AC$8:$AC$44&gt;=Calculations!BK45),Calculations!$AA$8:$AA$44),"A")</f>
        <v>20A</v>
      </c>
      <c r="F29" s="429"/>
      <c r="G29" s="429"/>
      <c r="H29" s="429" t="s">
        <v>103</v>
      </c>
      <c r="I29" s="429"/>
      <c r="J29" s="429"/>
      <c r="K29" s="410" t="str">
        <f>N25</f>
        <v>12.5A</v>
      </c>
      <c r="L29" s="411"/>
      <c r="M29" s="411"/>
      <c r="N29" s="412"/>
      <c r="O29" s="430">
        <v>1.25</v>
      </c>
      <c r="P29" s="411"/>
      <c r="Q29" s="412"/>
      <c r="R29" s="410" t="str">
        <f>CONCATENATE(ROUND(Calculations!BK45,2),"A")</f>
        <v>15.63A</v>
      </c>
      <c r="S29" s="411"/>
      <c r="T29" s="411"/>
      <c r="U29" s="412"/>
      <c r="V29" s="28"/>
      <c r="X29" s="31"/>
      <c r="Y29" s="31"/>
    </row>
    <row r="30" spans="2:25" ht="15.75" customHeight="1" x14ac:dyDescent="0.2">
      <c r="B30" s="42"/>
      <c r="C30" s="27"/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8"/>
      <c r="X30" s="31"/>
      <c r="Y30" s="31"/>
    </row>
    <row r="31" spans="2:25" ht="15" customHeight="1" x14ac:dyDescent="0.2">
      <c r="B31" s="42"/>
      <c r="C31" s="261" t="s">
        <v>11</v>
      </c>
      <c r="D31" s="432" t="s">
        <v>210</v>
      </c>
      <c r="E31" s="433"/>
      <c r="F31" s="434"/>
      <c r="G31" s="432" t="s">
        <v>110</v>
      </c>
      <c r="H31" s="434"/>
      <c r="I31" s="432" t="s">
        <v>111</v>
      </c>
      <c r="J31" s="433"/>
      <c r="K31" s="434"/>
      <c r="L31" s="261" t="s">
        <v>112</v>
      </c>
      <c r="M31" s="432" t="s">
        <v>113</v>
      </c>
      <c r="N31" s="433"/>
      <c r="O31" s="434"/>
      <c r="P31" s="432" t="s">
        <v>114</v>
      </c>
      <c r="Q31" s="433"/>
      <c r="R31" s="434"/>
      <c r="S31" s="431" t="s">
        <v>223</v>
      </c>
      <c r="T31" s="431"/>
      <c r="U31" s="431"/>
      <c r="V31" s="28"/>
      <c r="X31" s="31"/>
      <c r="Y31" s="31"/>
    </row>
    <row r="32" spans="2:25" ht="15" customHeight="1" x14ac:dyDescent="0.2">
      <c r="B32" s="42"/>
      <c r="C32" s="97">
        <v>1</v>
      </c>
      <c r="D32" s="401" t="str">
        <f>CONCATENATE(Calculations!AW4," AWG ",Calculations!AK4,", COPPER")</f>
        <v>10 AWG PV WIRE, COPPER</v>
      </c>
      <c r="E32" s="402"/>
      <c r="F32" s="403"/>
      <c r="G32" s="401" t="str">
        <f>IF(Calculations!AJ4="Free Air","FREE AIR",CONCATENATE(Calculations!BA4,""" DIA. EMT"))</f>
        <v>FREE AIR</v>
      </c>
      <c r="H32" s="403"/>
      <c r="I32" s="401" t="str">
        <f>IF(Calculations!AJ4="FREE AIR","N/A",Calculations!AF4)</f>
        <v>N/A</v>
      </c>
      <c r="J32" s="402"/>
      <c r="K32" s="403"/>
      <c r="L32" s="97" t="str">
        <f>Calculations!BB4</f>
        <v>N/A</v>
      </c>
      <c r="M32" s="401" t="str">
        <f>CONCATENATE(Calculations!AY4," AWG ",Calculations!AL4,", COPPER")</f>
        <v>6 AWG BARE, COPPER</v>
      </c>
      <c r="N32" s="402"/>
      <c r="O32" s="403"/>
      <c r="P32" s="401" t="str">
        <f>IF(Calculations!AP4="Yes",CONCATENATE(ROUND(Calculations!AO4,2),"A (PER STRING)"),CONCATENATE(Calculations!AO4,"A"))</f>
        <v>15A (PER STRING)</v>
      </c>
      <c r="Q32" s="402"/>
      <c r="R32" s="403"/>
      <c r="S32" s="401" t="str">
        <f>IF(Calculations!AP4="Yes","N/A",CONCATENATE(ROUND(Calculations!AS4,2),"A"))</f>
        <v>N/A</v>
      </c>
      <c r="T32" s="402"/>
      <c r="U32" s="403"/>
      <c r="V32" s="28"/>
      <c r="X32" s="31"/>
      <c r="Y32" s="31"/>
    </row>
    <row r="33" spans="2:25" ht="15" customHeight="1" x14ac:dyDescent="0.2">
      <c r="B33" s="42"/>
      <c r="C33" s="97">
        <v>2</v>
      </c>
      <c r="D33" s="401" t="str">
        <f>CONCATENATE(Calculations!AW5," AWG ",Calculations!AK5,", COPPER")</f>
        <v>10 AWG THWN-2, COPPER</v>
      </c>
      <c r="E33" s="402"/>
      <c r="F33" s="403"/>
      <c r="G33" s="401" t="str">
        <f>IF(Calculations!AJ5="Free Air","FREE AIR",CONCATENATE(Calculations!BA5,""" DIA. EMT"))</f>
        <v>0.75" DIA. EMT</v>
      </c>
      <c r="H33" s="403"/>
      <c r="I33" s="401">
        <f>IF(Calculations!AJ5="FREE AIR","N/A",Calculations!AF5)</f>
        <v>2</v>
      </c>
      <c r="J33" s="402"/>
      <c r="K33" s="403"/>
      <c r="L33" s="97" t="str">
        <f>Calculations!BB5</f>
        <v>N/A</v>
      </c>
      <c r="M33" s="401" t="str">
        <f>CONCATENATE(Calculations!AY5," AWG ",Calculations!AL5,", COPPER")</f>
        <v>10 AWG THWN-2, COPPER</v>
      </c>
      <c r="N33" s="402"/>
      <c r="O33" s="403"/>
      <c r="P33" s="401" t="str">
        <f>IF(Calculations!AP5="Yes",CONCATENATE(ROUND(Calculations!AO5,2),"A (PER STRING)"),CONCATENATE(Calculations!AO5,"A"))</f>
        <v>15A (PER STRING)</v>
      </c>
      <c r="Q33" s="402"/>
      <c r="R33" s="403"/>
      <c r="S33" s="401" t="str">
        <f>IF(Calculations!AP5="Yes","N/A",CONCATENATE(ROUND(Calculations!AS5,2),"A"))</f>
        <v>N/A</v>
      </c>
      <c r="T33" s="402"/>
      <c r="U33" s="403"/>
      <c r="V33" s="28"/>
      <c r="X33" s="31"/>
      <c r="Y33" s="31"/>
    </row>
    <row r="34" spans="2:25" ht="15.75" customHeight="1" x14ac:dyDescent="0.2">
      <c r="B34" s="42"/>
      <c r="C34" s="97">
        <v>3</v>
      </c>
      <c r="D34" s="401" t="str">
        <f>CONCATENATE(Calculations!AW6," AWG ",Calculations!AK6,", COPPER")</f>
        <v>10 AWG THWN-2, COPPER</v>
      </c>
      <c r="E34" s="402"/>
      <c r="F34" s="403"/>
      <c r="G34" s="401" t="str">
        <f>IF(Calculations!AJ6="Free Air","FREE AIR",CONCATENATE(Calculations!BA6,""" DIA. EMT"))</f>
        <v>0.75" DIA. EMT</v>
      </c>
      <c r="H34" s="403"/>
      <c r="I34" s="401">
        <f>IF(Calculations!AJ6="FREE AIR","N/A",Calculations!AF6)</f>
        <v>2</v>
      </c>
      <c r="J34" s="402"/>
      <c r="K34" s="403"/>
      <c r="L34" s="97" t="str">
        <f>IF(OR($Y$23="3",$Y$23=3),CONCATENATE(Calculations!BB6,"A"),"N/A")</f>
        <v>20A</v>
      </c>
      <c r="M34" s="401" t="str">
        <f>CONCATENATE(Calculations!AY6," AWG ",Calculations!AL6,", COPPER")</f>
        <v>10 AWG THWN-2, COPPER</v>
      </c>
      <c r="N34" s="402"/>
      <c r="O34" s="403"/>
      <c r="P34" s="401" t="str">
        <f>IF(Calculations!AP6="Yes",CONCATENATE(ROUND(Calculations!AO6,2),"A (PER STRING)"),CONCATENATE(Calculations!AO6,"A"))</f>
        <v>12.5A</v>
      </c>
      <c r="Q34" s="402"/>
      <c r="R34" s="403"/>
      <c r="S34" s="401" t="str">
        <f>IF(Calculations!AP6="Yes","N/A",CONCATENATE(ROUND(Calculations!AS6,2),"A"))</f>
        <v>15.63A</v>
      </c>
      <c r="T34" s="402"/>
      <c r="U34" s="403"/>
      <c r="V34" s="28"/>
      <c r="X34" s="31"/>
      <c r="Y34" s="31"/>
    </row>
    <row r="35" spans="2:25" x14ac:dyDescent="0.2">
      <c r="B35" s="42"/>
      <c r="C35" s="97">
        <v>4</v>
      </c>
      <c r="D35" s="401" t="str">
        <f>CONCATENATE(Calculations!AW7," AWG ",Calculations!AK7,", COPPER")</f>
        <v>10 AWG THWN-2, COPPER</v>
      </c>
      <c r="E35" s="402"/>
      <c r="F35" s="403"/>
      <c r="G35" s="401" t="str">
        <f>IF(Calculations!AJ7="Free Air","FREE AIR",CONCATENATE(Calculations!BA7,""" DIA. EMT"))</f>
        <v>0.75" DIA. EMT</v>
      </c>
      <c r="H35" s="403"/>
      <c r="I35" s="401">
        <f>IF(Calculations!AJ7="FREE AIR","N/A",Calculations!AF7)</f>
        <v>2</v>
      </c>
      <c r="J35" s="402"/>
      <c r="K35" s="403"/>
      <c r="L35" s="97" t="str">
        <f>IF(OR($Y$23="4",$Y$23=4),CONCATENATE(Calculations!BB7,"A"),"N/A")</f>
        <v>N/A</v>
      </c>
      <c r="M35" s="401" t="str">
        <f>CONCATENATE(Calculations!AY7," AWG ",Calculations!AL7,", COPPER")</f>
        <v>10 AWG THWN-2, COPPER</v>
      </c>
      <c r="N35" s="402"/>
      <c r="O35" s="403"/>
      <c r="P35" s="401" t="str">
        <f>IF(Calculations!AP7="Yes",CONCATENATE(ROUND(Calculations!AO7,2),"A (PER STRING)"),CONCATENATE(Calculations!AO7,"A"))</f>
        <v>12.5A</v>
      </c>
      <c r="Q35" s="402"/>
      <c r="R35" s="403"/>
      <c r="S35" s="401" t="str">
        <f>IF(Calculations!AP7="Yes","N/A",CONCATENATE(ROUND(Calculations!AS7,2),"A"))</f>
        <v>15.63A</v>
      </c>
      <c r="T35" s="402"/>
      <c r="U35" s="403"/>
      <c r="V35" s="28"/>
    </row>
    <row r="36" spans="2:25" x14ac:dyDescent="0.2">
      <c r="B36" s="42"/>
      <c r="C36" s="97">
        <v>5</v>
      </c>
      <c r="D36" s="401" t="str">
        <f>CONCATENATE(Calculations!AW8," AWG ",Calculations!AK8,", COPPER")</f>
        <v>10 AWG THWN-2, COPPER</v>
      </c>
      <c r="E36" s="402"/>
      <c r="F36" s="403"/>
      <c r="G36" s="401" t="str">
        <f>IF(Calculations!AJ8="Free Air","FREE AIR",CONCATENATE(Calculations!BA8,""" DIA. EMT"))</f>
        <v>0.75" DIA. EMT</v>
      </c>
      <c r="H36" s="403"/>
      <c r="I36" s="401">
        <f>IF(Calculations!AJ8="FREE AIR","N/A",Calculations!AF8)</f>
        <v>2</v>
      </c>
      <c r="J36" s="402"/>
      <c r="K36" s="403"/>
      <c r="L36" s="97" t="str">
        <f>IF(OR($Y$23="5",$Y$23=5),CONCATENATE(Calculations!BB8,"A"),"N/A")</f>
        <v>N/A</v>
      </c>
      <c r="M36" s="401" t="str">
        <f>CONCATENATE(Calculations!AY8," AWG ",Calculations!AL8,", COPPER")</f>
        <v>10 AWG THWN-2, COPPER</v>
      </c>
      <c r="N36" s="402"/>
      <c r="O36" s="403"/>
      <c r="P36" s="401" t="str">
        <f>IF(Calculations!AP8="Yes",CONCATENATE(ROUND(Calculations!AO8,2),"A (PER STRING)"),CONCATENATE(Calculations!AO8,"A"))</f>
        <v>12.5A</v>
      </c>
      <c r="Q36" s="402"/>
      <c r="R36" s="403"/>
      <c r="S36" s="401" t="str">
        <f>IF(Calculations!AP8="Yes","N/A",CONCATENATE(ROUND(Calculations!AS8,2),"A"))</f>
        <v>15.63A</v>
      </c>
      <c r="T36" s="402"/>
      <c r="U36" s="403"/>
      <c r="V36" s="28"/>
    </row>
    <row r="37" spans="2:25" x14ac:dyDescent="0.2">
      <c r="B37" s="42"/>
      <c r="C37" s="25"/>
      <c r="D37" s="25"/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5"/>
      <c r="U37" s="25"/>
      <c r="V37" s="28"/>
    </row>
    <row r="38" spans="2:25" x14ac:dyDescent="0.2">
      <c r="B38" s="42"/>
      <c r="C38" s="97" t="s">
        <v>11</v>
      </c>
      <c r="D38" s="401" t="s">
        <v>210</v>
      </c>
      <c r="E38" s="402"/>
      <c r="F38" s="403"/>
      <c r="G38" s="401" t="s">
        <v>116</v>
      </c>
      <c r="H38" s="403"/>
      <c r="I38" s="401" t="s">
        <v>117</v>
      </c>
      <c r="J38" s="403"/>
      <c r="K38" s="401" t="s">
        <v>118</v>
      </c>
      <c r="L38" s="403"/>
      <c r="M38" s="401" t="str">
        <f>IF(Input!D8=2017,"TEMP. FACTOR**","TEMP. FACTOR")</f>
        <v>TEMP. FACTOR**</v>
      </c>
      <c r="N38" s="402"/>
      <c r="O38" s="403"/>
      <c r="P38" s="401" t="s">
        <v>119</v>
      </c>
      <c r="Q38" s="403"/>
      <c r="R38" s="42"/>
      <c r="S38" s="25"/>
      <c r="T38" s="25"/>
      <c r="U38" s="25"/>
      <c r="V38" s="28"/>
    </row>
    <row r="39" spans="2:25" x14ac:dyDescent="0.2">
      <c r="B39" s="42"/>
      <c r="C39" s="97">
        <v>2</v>
      </c>
      <c r="D39" s="401" t="str">
        <f>D33</f>
        <v>10 AWG THWN-2, COPPER</v>
      </c>
      <c r="E39" s="402"/>
      <c r="F39" s="403"/>
      <c r="G39" s="438" t="str">
        <f>CONCATENATE(Calculations!BC5,"A")</f>
        <v>35A</v>
      </c>
      <c r="H39" s="439"/>
      <c r="I39" s="435">
        <f>Calculations!AN5</f>
        <v>1</v>
      </c>
      <c r="J39" s="437"/>
      <c r="K39" s="435" t="str">
        <f>CONCATENATE(ROUND((Calculations!AN5*Calculations!BC5),2),"A")</f>
        <v>35A</v>
      </c>
      <c r="L39" s="437"/>
      <c r="M39" s="435">
        <f>Calculations!AM5</f>
        <v>1.04</v>
      </c>
      <c r="N39" s="436"/>
      <c r="O39" s="437"/>
      <c r="P39" s="435" t="str">
        <f>CONCATENATE(ROUND(Calculations!BD5,2),"A")</f>
        <v>36.4A</v>
      </c>
      <c r="Q39" s="437"/>
      <c r="R39" s="42"/>
      <c r="S39" s="25"/>
      <c r="T39" s="25"/>
      <c r="U39" s="25"/>
      <c r="V39" s="28"/>
    </row>
    <row r="40" spans="2:25" x14ac:dyDescent="0.2">
      <c r="B40" s="42"/>
      <c r="C40" s="339">
        <v>3</v>
      </c>
      <c r="D40" s="401" t="str">
        <f>D34</f>
        <v>10 AWG THWN-2, COPPER</v>
      </c>
      <c r="E40" s="402"/>
      <c r="F40" s="403"/>
      <c r="G40" s="438" t="str">
        <f>CONCATENATE(Calculations!BC6,"A")</f>
        <v>35A</v>
      </c>
      <c r="H40" s="439"/>
      <c r="I40" s="435">
        <f>Calculations!AN6</f>
        <v>1</v>
      </c>
      <c r="J40" s="437"/>
      <c r="K40" s="435" t="str">
        <f>CONCATENATE(ROUND((Calculations!AN6*Calculations!BC6),2),"A")</f>
        <v>35A</v>
      </c>
      <c r="L40" s="437"/>
      <c r="M40" s="435">
        <f>Calculations!AM6</f>
        <v>1.04</v>
      </c>
      <c r="N40" s="436"/>
      <c r="O40" s="437"/>
      <c r="P40" s="435" t="str">
        <f>CONCATENATE(ROUND(Calculations!BD6,2),"A")</f>
        <v>36.4A</v>
      </c>
      <c r="Q40" s="437"/>
      <c r="R40" s="25"/>
      <c r="S40" s="25"/>
      <c r="T40" s="25"/>
      <c r="U40" s="25"/>
      <c r="V40" s="28"/>
    </row>
    <row r="41" spans="2:25" x14ac:dyDescent="0.2">
      <c r="B41" s="42"/>
      <c r="C41" s="339">
        <v>4</v>
      </c>
      <c r="D41" s="401" t="str">
        <f t="shared" ref="D41:D42" si="0">D35</f>
        <v>10 AWG THWN-2, COPPER</v>
      </c>
      <c r="E41" s="402"/>
      <c r="F41" s="403"/>
      <c r="G41" s="438" t="str">
        <f>CONCATENATE(Calculations!BC7,"A")</f>
        <v>35A</v>
      </c>
      <c r="H41" s="439"/>
      <c r="I41" s="435">
        <f>Calculations!AN7</f>
        <v>1</v>
      </c>
      <c r="J41" s="437"/>
      <c r="K41" s="435" t="str">
        <f>CONCATENATE(ROUND((Calculations!AN7*Calculations!BC7),2),"A")</f>
        <v>35A</v>
      </c>
      <c r="L41" s="437"/>
      <c r="M41" s="435">
        <f>Calculations!AM7</f>
        <v>1.04</v>
      </c>
      <c r="N41" s="436"/>
      <c r="O41" s="437"/>
      <c r="P41" s="435" t="str">
        <f>CONCATENATE(ROUND(Calculations!BD7,2),"A")</f>
        <v>36.4A</v>
      </c>
      <c r="Q41" s="437"/>
      <c r="R41" s="25"/>
      <c r="S41" s="25"/>
      <c r="T41" s="25"/>
      <c r="U41" s="25"/>
      <c r="V41" s="28"/>
    </row>
    <row r="42" spans="2:25" x14ac:dyDescent="0.2">
      <c r="B42" s="42"/>
      <c r="C42" s="339">
        <v>5</v>
      </c>
      <c r="D42" s="401" t="str">
        <f t="shared" si="0"/>
        <v>10 AWG THWN-2, COPPER</v>
      </c>
      <c r="E42" s="402"/>
      <c r="F42" s="403"/>
      <c r="G42" s="438" t="str">
        <f>CONCATENATE(Calculations!BC8,"A")</f>
        <v>35A</v>
      </c>
      <c r="H42" s="439"/>
      <c r="I42" s="435">
        <f>Calculations!AN8</f>
        <v>1</v>
      </c>
      <c r="J42" s="437"/>
      <c r="K42" s="435" t="str">
        <f>CONCATENATE(ROUND((Calculations!AN8*Calculations!BC8),2),"A")</f>
        <v>35A</v>
      </c>
      <c r="L42" s="437"/>
      <c r="M42" s="435">
        <f>Calculations!AM8</f>
        <v>1.04</v>
      </c>
      <c r="N42" s="436"/>
      <c r="O42" s="437"/>
      <c r="P42" s="435" t="str">
        <f>CONCATENATE(ROUND(Calculations!BD8,2),"A")</f>
        <v>36.4A</v>
      </c>
      <c r="Q42" s="437"/>
      <c r="R42" s="25"/>
      <c r="S42" s="25"/>
      <c r="T42" s="25"/>
      <c r="U42" s="25"/>
      <c r="V42" s="28"/>
    </row>
    <row r="43" spans="2:25" x14ac:dyDescent="0.2">
      <c r="B43" s="42"/>
      <c r="C43" s="25"/>
      <c r="D43" s="25"/>
      <c r="E43" s="25"/>
      <c r="F43" s="25"/>
      <c r="G43" s="25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8"/>
    </row>
    <row r="44" spans="2:25" x14ac:dyDescent="0.2">
      <c r="B44" s="42"/>
      <c r="C44" s="447" t="s">
        <v>214</v>
      </c>
      <c r="D44" s="447"/>
      <c r="E44" s="447"/>
      <c r="F44" s="447"/>
      <c r="G44" s="447"/>
      <c r="H44" s="447"/>
      <c r="I44" s="447"/>
      <c r="J44" s="447"/>
      <c r="K44" s="447"/>
      <c r="L44" s="447"/>
      <c r="M44" s="447"/>
      <c r="N44" s="447"/>
      <c r="O44" s="447"/>
      <c r="P44" s="447"/>
      <c r="Q44" s="447"/>
      <c r="R44" s="447"/>
      <c r="S44" s="447"/>
      <c r="T44" s="447"/>
      <c r="U44" s="447"/>
      <c r="V44" s="28"/>
    </row>
    <row r="45" spans="2:25" x14ac:dyDescent="0.2">
      <c r="B45" s="42"/>
      <c r="C45" s="25"/>
      <c r="D45" s="25"/>
      <c r="E45" s="25"/>
      <c r="F45" s="25"/>
      <c r="G45" s="25"/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  <c r="U45" s="25"/>
      <c r="V45" s="28"/>
    </row>
    <row r="46" spans="2:25" x14ac:dyDescent="0.2">
      <c r="B46" s="42"/>
      <c r="C46" s="447" t="s">
        <v>779</v>
      </c>
      <c r="D46" s="447"/>
      <c r="E46" s="447"/>
      <c r="F46" s="447"/>
      <c r="G46" s="447"/>
      <c r="H46" s="447"/>
      <c r="I46" s="447"/>
      <c r="J46" s="447"/>
      <c r="K46" s="447"/>
      <c r="L46" s="447"/>
      <c r="M46" s="447"/>
      <c r="N46" s="447"/>
      <c r="O46" s="447"/>
      <c r="P46" s="447"/>
      <c r="Q46" s="447"/>
      <c r="R46" s="447"/>
      <c r="S46" s="447"/>
      <c r="T46" s="447"/>
      <c r="U46" s="447"/>
      <c r="V46" s="28"/>
    </row>
    <row r="47" spans="2:25" x14ac:dyDescent="0.2">
      <c r="B47" s="42"/>
      <c r="C47" s="25"/>
      <c r="D47" s="25"/>
      <c r="E47" s="25"/>
      <c r="F47" s="25"/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8"/>
    </row>
    <row r="48" spans="2:25" x14ac:dyDescent="0.2">
      <c r="B48" s="44"/>
      <c r="C48" s="26"/>
      <c r="D48" s="26"/>
      <c r="E48" s="26"/>
      <c r="F48" s="26"/>
      <c r="G48" s="26"/>
      <c r="H48" s="26"/>
      <c r="I48" s="26"/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48"/>
    </row>
    <row r="49" spans="2:22" x14ac:dyDescent="0.2">
      <c r="B49" s="398" t="s">
        <v>270</v>
      </c>
      <c r="C49" s="400"/>
      <c r="D49" s="400"/>
      <c r="E49" s="400"/>
      <c r="F49" s="400"/>
      <c r="G49" s="400"/>
      <c r="H49" s="400"/>
      <c r="I49" s="400"/>
      <c r="J49" s="400"/>
      <c r="K49" s="400"/>
      <c r="L49" s="400"/>
      <c r="M49" s="400"/>
      <c r="N49" s="400"/>
      <c r="O49" s="400"/>
      <c r="P49" s="400"/>
      <c r="Q49" s="400"/>
      <c r="R49" s="400"/>
      <c r="S49" s="400"/>
      <c r="T49" s="400"/>
      <c r="U49" s="400"/>
      <c r="V49" s="399"/>
    </row>
    <row r="50" spans="2:22" x14ac:dyDescent="0.2">
      <c r="B50" s="410"/>
      <c r="C50" s="411"/>
      <c r="D50" s="411"/>
      <c r="E50" s="411"/>
      <c r="F50" s="411"/>
      <c r="G50" s="411"/>
      <c r="H50" s="411"/>
      <c r="I50" s="411"/>
      <c r="J50" s="411"/>
      <c r="K50" s="411"/>
      <c r="L50" s="411"/>
      <c r="M50" s="411"/>
      <c r="N50" s="411"/>
      <c r="O50" s="411"/>
      <c r="P50" s="411"/>
      <c r="Q50" s="411"/>
      <c r="R50" s="411"/>
      <c r="S50" s="411"/>
      <c r="T50" s="411"/>
      <c r="U50" s="411"/>
      <c r="V50" s="412"/>
    </row>
    <row r="51" spans="2:22" x14ac:dyDescent="0.2">
      <c r="B51" s="262"/>
      <c r="C51" s="94"/>
      <c r="D51" s="94"/>
      <c r="E51" s="94"/>
      <c r="F51" s="94"/>
      <c r="G51" s="94"/>
      <c r="H51" s="94"/>
      <c r="I51" s="94"/>
      <c r="J51" s="94"/>
      <c r="K51" s="94"/>
      <c r="L51" s="94"/>
      <c r="M51" s="94"/>
      <c r="N51" s="94"/>
      <c r="O51" s="94"/>
      <c r="P51" s="94"/>
      <c r="Q51" s="94"/>
      <c r="R51" s="94"/>
      <c r="S51" s="94"/>
      <c r="T51" s="94"/>
      <c r="U51" s="94"/>
      <c r="V51" s="105"/>
    </row>
    <row r="52" spans="2:22" x14ac:dyDescent="0.2">
      <c r="B52" s="262"/>
      <c r="C52" s="94"/>
      <c r="D52" s="94"/>
      <c r="E52" s="94"/>
      <c r="F52" s="94"/>
      <c r="G52" s="94"/>
      <c r="H52" s="94"/>
      <c r="I52" s="94"/>
      <c r="J52" s="94"/>
      <c r="K52" s="94"/>
      <c r="L52" s="94"/>
      <c r="M52" s="94"/>
      <c r="N52" s="94"/>
      <c r="O52" s="94"/>
      <c r="P52" s="94"/>
      <c r="Q52" s="94"/>
      <c r="R52" s="94"/>
      <c r="S52" s="94"/>
      <c r="T52" s="94"/>
      <c r="U52" s="94"/>
      <c r="V52" s="105"/>
    </row>
    <row r="53" spans="2:22" x14ac:dyDescent="0.2">
      <c r="B53" s="262"/>
      <c r="C53" s="94"/>
      <c r="D53" s="94"/>
      <c r="E53" s="94"/>
      <c r="F53" s="94"/>
      <c r="G53" s="94"/>
      <c r="H53" s="94"/>
      <c r="I53" s="94"/>
      <c r="J53" s="94"/>
      <c r="K53" s="94"/>
      <c r="L53" s="94"/>
      <c r="M53" s="94"/>
      <c r="N53" s="94"/>
      <c r="O53" s="94"/>
      <c r="P53" s="94"/>
      <c r="Q53" s="94"/>
      <c r="R53" s="94"/>
      <c r="S53" s="94"/>
      <c r="T53" s="94"/>
      <c r="U53" s="94"/>
      <c r="V53" s="105"/>
    </row>
    <row r="54" spans="2:22" x14ac:dyDescent="0.2">
      <c r="B54" s="440"/>
      <c r="C54" s="25"/>
      <c r="D54" s="25"/>
      <c r="E54" s="25"/>
      <c r="F54" s="25"/>
      <c r="G54" s="25"/>
      <c r="H54" s="25"/>
      <c r="I54" s="25"/>
      <c r="J54" s="25"/>
      <c r="K54" s="25"/>
      <c r="L54" s="25"/>
      <c r="M54" s="25"/>
      <c r="N54" s="25"/>
      <c r="O54" s="25"/>
      <c r="P54" s="25"/>
      <c r="Q54" s="25"/>
      <c r="R54" s="25"/>
      <c r="S54" s="25"/>
      <c r="T54" s="25"/>
      <c r="U54" s="25"/>
      <c r="V54" s="28"/>
    </row>
    <row r="55" spans="2:22" x14ac:dyDescent="0.2">
      <c r="B55" s="440"/>
      <c r="C55" s="25"/>
      <c r="D55" s="25"/>
      <c r="E55" s="25"/>
      <c r="F55" s="25"/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5"/>
      <c r="R55" s="25"/>
      <c r="S55" s="25"/>
      <c r="T55" s="25"/>
      <c r="U55" s="25"/>
      <c r="V55" s="28"/>
    </row>
    <row r="56" spans="2:22" x14ac:dyDescent="0.2">
      <c r="B56" s="440"/>
      <c r="C56" s="52" t="s">
        <v>236</v>
      </c>
      <c r="D56" s="47"/>
      <c r="E56" s="47"/>
      <c r="F56" s="47"/>
      <c r="G56" s="51"/>
      <c r="H56" s="52" t="s">
        <v>246</v>
      </c>
      <c r="I56" s="47"/>
      <c r="J56" s="47"/>
      <c r="K56" s="47"/>
      <c r="L56" s="51"/>
      <c r="M56" s="52" t="s">
        <v>254</v>
      </c>
      <c r="N56" s="47"/>
      <c r="O56" s="47"/>
      <c r="P56" s="47"/>
      <c r="Q56" s="51"/>
      <c r="R56" s="52" t="s">
        <v>256</v>
      </c>
      <c r="S56" s="47"/>
      <c r="T56" s="47"/>
      <c r="U56" s="51"/>
      <c r="V56" s="28"/>
    </row>
    <row r="57" spans="2:22" x14ac:dyDescent="0.2">
      <c r="B57" s="440"/>
      <c r="C57" s="42"/>
      <c r="D57" s="25"/>
      <c r="E57" s="25"/>
      <c r="F57" s="25"/>
      <c r="G57" s="28"/>
      <c r="H57" s="42"/>
      <c r="I57" s="25"/>
      <c r="J57" s="25"/>
      <c r="K57" s="25"/>
      <c r="L57" s="28"/>
      <c r="M57" s="42"/>
      <c r="N57" s="25"/>
      <c r="O57" s="25"/>
      <c r="P57" s="25"/>
      <c r="Q57" s="28"/>
      <c r="R57" s="42"/>
      <c r="S57" s="25"/>
      <c r="T57" s="25"/>
      <c r="U57" s="28"/>
      <c r="V57" s="28"/>
    </row>
    <row r="58" spans="2:22" x14ac:dyDescent="0.2">
      <c r="B58" s="440"/>
      <c r="C58" s="42" t="s">
        <v>238</v>
      </c>
      <c r="D58" s="25" t="s">
        <v>259</v>
      </c>
      <c r="E58" s="25"/>
      <c r="F58" s="25"/>
      <c r="G58" s="28"/>
      <c r="H58" s="42" t="s">
        <v>247</v>
      </c>
      <c r="I58" s="25"/>
      <c r="J58" s="263" t="str">
        <f>Output!E16</f>
        <v>HANWHA Q.PEAK-G4.1 300W</v>
      </c>
      <c r="K58" s="25"/>
      <c r="L58" s="28"/>
      <c r="M58" s="42" t="str">
        <f>IF(Calculations!$AF$24="Texas Energy Experts",("0.4% DRY BULB TEMP:"),("2% DRY BULB TEMP:"))</f>
        <v>2% DRY BULB TEMP:</v>
      </c>
      <c r="N58" s="25"/>
      <c r="O58" s="25"/>
      <c r="P58" s="25"/>
      <c r="Q58" s="54" t="str">
        <f>CONCATENATE(ROUND(Calculations!$AG$20,1),"°F")</f>
        <v>77°F</v>
      </c>
      <c r="R58" s="42" t="s">
        <v>238</v>
      </c>
      <c r="S58" s="25" t="s">
        <v>259</v>
      </c>
      <c r="T58" s="25"/>
      <c r="U58" s="28"/>
      <c r="V58" s="28"/>
    </row>
    <row r="59" spans="2:22" x14ac:dyDescent="0.2">
      <c r="B59" s="440"/>
      <c r="C59" s="42" t="s">
        <v>239</v>
      </c>
      <c r="D59" s="25" t="str">
        <f>Input!D14</f>
        <v>SE3000H-US</v>
      </c>
      <c r="E59" s="25"/>
      <c r="F59" s="25"/>
      <c r="G59" s="28"/>
      <c r="H59" s="42" t="s">
        <v>248</v>
      </c>
      <c r="I59" s="25"/>
      <c r="J59" s="263">
        <f>Output!C16</f>
        <v>1</v>
      </c>
      <c r="K59" s="25"/>
      <c r="L59" s="28"/>
      <c r="M59" s="42"/>
      <c r="N59" s="25"/>
      <c r="O59" s="25"/>
      <c r="P59" s="25"/>
      <c r="Q59" s="55"/>
      <c r="R59" s="42" t="s">
        <v>239</v>
      </c>
      <c r="S59" s="25" t="str">
        <f>Input!D20</f>
        <v>P320</v>
      </c>
      <c r="T59" s="25"/>
      <c r="U59" s="28"/>
      <c r="V59" s="28"/>
    </row>
    <row r="60" spans="2:22" x14ac:dyDescent="0.2">
      <c r="B60" s="440"/>
      <c r="C60" s="42"/>
      <c r="D60" s="25"/>
      <c r="E60" s="25"/>
      <c r="F60" s="25"/>
      <c r="G60" s="28"/>
      <c r="H60" s="42" t="s">
        <v>249</v>
      </c>
      <c r="I60" s="25"/>
      <c r="J60" s="263" t="str">
        <f>Output!H16</f>
        <v>300W</v>
      </c>
      <c r="K60" s="25"/>
      <c r="L60" s="28"/>
      <c r="M60" s="42" t="str">
        <f>IF(Input!D8=2017,"DISTANCE ABOVE ROOF (&gt; 7/8''): ","WITH TEMPERATURE ADDER:")</f>
        <v xml:space="preserve">DISTANCE ABOVE ROOF (&gt; 7/8''): </v>
      </c>
      <c r="N60" s="25"/>
      <c r="O60" s="25"/>
      <c r="P60" s="25"/>
      <c r="Q60" s="55" t="str">
        <f>IF(Input!D8=2017,CONCATENATE(ROUND(Calculations!$AG$20,1),"°F"),CONCATENATE(ROUND(Calculations!$AG$22,1),"°F"))</f>
        <v>77°F</v>
      </c>
      <c r="R60" s="42"/>
      <c r="S60" s="25"/>
      <c r="T60" s="25"/>
      <c r="U60" s="28"/>
      <c r="V60" s="28"/>
    </row>
    <row r="61" spans="2:22" x14ac:dyDescent="0.2">
      <c r="B61" s="440"/>
      <c r="C61" s="56" t="s">
        <v>128</v>
      </c>
      <c r="D61" s="25"/>
      <c r="E61" s="25"/>
      <c r="F61" s="25"/>
      <c r="G61" s="28"/>
      <c r="H61" s="42"/>
      <c r="I61" s="25"/>
      <c r="J61" s="25"/>
      <c r="K61" s="25"/>
      <c r="L61" s="28"/>
      <c r="M61" s="42"/>
      <c r="N61" s="25"/>
      <c r="O61" s="25"/>
      <c r="P61" s="25"/>
      <c r="Q61" s="55"/>
      <c r="R61" s="397"/>
      <c r="S61" s="397"/>
      <c r="T61" s="97" t="s">
        <v>128</v>
      </c>
      <c r="U61" s="97" t="s">
        <v>237</v>
      </c>
      <c r="V61" s="28"/>
    </row>
    <row r="62" spans="2:22" x14ac:dyDescent="0.2">
      <c r="B62" s="440"/>
      <c r="C62" s="42" t="s">
        <v>240</v>
      </c>
      <c r="D62" s="25"/>
      <c r="E62" s="25"/>
      <c r="F62" s="25" t="str">
        <f>VLOOKUP($D$59,Inverters!$B$15:$J$28,7,FALSE)</f>
        <v>480V</v>
      </c>
      <c r="G62" s="28"/>
      <c r="H62" s="42" t="s">
        <v>250</v>
      </c>
      <c r="I62" s="263" t="str">
        <f>Output!N16</f>
        <v>39.76V</v>
      </c>
      <c r="J62" s="25" t="s">
        <v>252</v>
      </c>
      <c r="K62" s="263" t="str">
        <f>Output!P16</f>
        <v>32.41V</v>
      </c>
      <c r="L62" s="28"/>
      <c r="M62" s="42" t="s">
        <v>255</v>
      </c>
      <c r="N62" s="25"/>
      <c r="O62" s="25"/>
      <c r="P62" s="25"/>
      <c r="Q62" s="55" t="str">
        <f>CONCATENATE(ROUND(Calculations!$AG$21,1),"°F")</f>
        <v>-13°F</v>
      </c>
      <c r="R62" s="397" t="s">
        <v>257</v>
      </c>
      <c r="S62" s="397"/>
      <c r="T62" s="97" t="str">
        <f>VLOOKUP($S$59,Optimizers!$B$4:$H$9,5,FALSE)</f>
        <v>48V</v>
      </c>
      <c r="U62" s="97" t="str">
        <f>CONCATENATE(Calculations!BH19,"V")</f>
        <v>60V</v>
      </c>
      <c r="V62" s="28"/>
    </row>
    <row r="63" spans="2:22" x14ac:dyDescent="0.2">
      <c r="B63" s="440"/>
      <c r="C63" s="42" t="s">
        <v>241</v>
      </c>
      <c r="D63" s="25"/>
      <c r="E63" s="25"/>
      <c r="F63" s="25" t="str">
        <f>VLOOKUP($D$59,Inverters!$B$15:$J$28,6,FALSE)</f>
        <v>8.5A</v>
      </c>
      <c r="G63" s="28"/>
      <c r="H63" s="44" t="s">
        <v>251</v>
      </c>
      <c r="I63" s="53" t="str">
        <f>Output!J16</f>
        <v>9.77A</v>
      </c>
      <c r="J63" s="26" t="s">
        <v>253</v>
      </c>
      <c r="K63" s="53" t="str">
        <f>Output!L16</f>
        <v>9.26A</v>
      </c>
      <c r="L63" s="48"/>
      <c r="M63" s="44"/>
      <c r="N63" s="26"/>
      <c r="O63" s="26"/>
      <c r="P63" s="26"/>
      <c r="Q63" s="48"/>
      <c r="R63" s="397" t="s">
        <v>258</v>
      </c>
      <c r="S63" s="397"/>
      <c r="T63" s="97" t="str">
        <f>CONCATENATE(Calculations!BH13,"A")</f>
        <v>13.75A</v>
      </c>
      <c r="U63" s="97" t="str">
        <f>VLOOKUP($S$59,Optimizers!$B$4:$H$9,3,FALSE)</f>
        <v>15A</v>
      </c>
      <c r="V63" s="28"/>
    </row>
    <row r="64" spans="2:22" x14ac:dyDescent="0.2">
      <c r="B64" s="440"/>
      <c r="C64" s="42" t="s">
        <v>242</v>
      </c>
      <c r="D64" s="25"/>
      <c r="E64" s="25"/>
      <c r="F64" s="263" t="str">
        <f>CONCATENATE(Calculations!BL8,"W")</f>
        <v>4650W</v>
      </c>
      <c r="G64" s="28"/>
      <c r="H64" s="443" t="s">
        <v>260</v>
      </c>
      <c r="I64" s="444"/>
      <c r="J64" s="444"/>
      <c r="K64" s="444"/>
      <c r="L64" s="444"/>
      <c r="M64" s="444"/>
      <c r="N64" s="444"/>
      <c r="O64" s="444"/>
      <c r="P64" s="444"/>
      <c r="Q64" s="444"/>
      <c r="R64" s="444"/>
      <c r="S64" s="444"/>
      <c r="T64" s="444"/>
      <c r="U64" s="445"/>
      <c r="V64" s="28"/>
    </row>
    <row r="65" spans="2:22" x14ac:dyDescent="0.2">
      <c r="B65" s="440"/>
      <c r="C65" s="42"/>
      <c r="D65" s="25"/>
      <c r="E65" s="25"/>
      <c r="F65" s="25"/>
      <c r="G65" s="25"/>
      <c r="H65" s="259" t="s">
        <v>11</v>
      </c>
      <c r="I65" s="410" t="s">
        <v>109</v>
      </c>
      <c r="J65" s="411"/>
      <c r="K65" s="412"/>
      <c r="L65" s="411" t="s">
        <v>262</v>
      </c>
      <c r="M65" s="411"/>
      <c r="N65" s="411"/>
      <c r="O65" s="410" t="s">
        <v>113</v>
      </c>
      <c r="P65" s="411"/>
      <c r="Q65" s="411"/>
      <c r="R65" s="412"/>
      <c r="S65" s="411" t="s">
        <v>261</v>
      </c>
      <c r="T65" s="411"/>
      <c r="U65" s="412"/>
      <c r="V65" s="28"/>
    </row>
    <row r="66" spans="2:22" x14ac:dyDescent="0.2">
      <c r="B66" s="440"/>
      <c r="C66" s="56" t="s">
        <v>237</v>
      </c>
      <c r="D66" s="25"/>
      <c r="E66" s="25"/>
      <c r="F66" s="25"/>
      <c r="G66" s="25"/>
      <c r="H66" s="101">
        <v>1</v>
      </c>
      <c r="I66" s="410" t="str">
        <f>CONCATENATE("(",Calculations!AF4,") ","#",Calculations!AW4," AWG ",Calculations!AK4,", COPPER")</f>
        <v>(2) #10 AWG PV WIRE, COPPER</v>
      </c>
      <c r="J66" s="411"/>
      <c r="K66" s="412"/>
      <c r="L66" s="410" t="str">
        <f>IF(Calculations!AG4=0,"N/A",CONCATENATE("(",Calculations!AG4,") ","#",Calculations!AX4," AWG ",Calculations!AK4,", COPPER"))</f>
        <v>N/A</v>
      </c>
      <c r="M66" s="411"/>
      <c r="N66" s="412"/>
      <c r="O66" s="410" t="str">
        <f>CONCATENATE("(",Calculations!AH4,") ","#",Calculations!AY4," AWG, ",Calculations!AL4,", COPPER EGC")</f>
        <v>(1) #6 AWG, BARE, COPPER EGC</v>
      </c>
      <c r="P66" s="411"/>
      <c r="Q66" s="411"/>
      <c r="R66" s="412"/>
      <c r="S66" s="410" t="str">
        <f>IF(Calculations!AJ4="Free Air","N/A - FREE AIR",CONCATENATE(Calculations!BA4,""" DIA. EMT"))</f>
        <v>N/A - FREE AIR</v>
      </c>
      <c r="T66" s="411"/>
      <c r="U66" s="412"/>
      <c r="V66" s="28"/>
    </row>
    <row r="67" spans="2:22" ht="12.75" customHeight="1" x14ac:dyDescent="0.2">
      <c r="B67" s="440"/>
      <c r="C67" s="42" t="s">
        <v>243</v>
      </c>
      <c r="D67" s="25"/>
      <c r="E67" s="25"/>
      <c r="F67" s="25" t="str">
        <f>VLOOKUP($D$59,Inverters!$B$15:$J$28,4,FALSE)</f>
        <v>3000W</v>
      </c>
      <c r="G67" s="25"/>
      <c r="H67" s="36">
        <v>2</v>
      </c>
      <c r="I67" s="440" t="str">
        <f>CONCATENATE("(",Calculations!AF5,") ","#",Calculations!AW5," AWG ",Calculations!AK5,", COPPER")</f>
        <v>(2) #10 AWG THWN-2, COPPER</v>
      </c>
      <c r="J67" s="441"/>
      <c r="K67" s="442"/>
      <c r="L67" s="440" t="str">
        <f>IF(Calculations!AG5=0,"N/A",CONCATENATE("(",Calculations!AG5,") ","#",Calculations!AX5," AWG ",Calculations!AK5,", COPPER"))</f>
        <v>N/A</v>
      </c>
      <c r="M67" s="441"/>
      <c r="N67" s="442"/>
      <c r="O67" s="440" t="str">
        <f>CONCATENATE("(",Calculations!AH5,") ","#",Calculations!AY5," AWG, ",Calculations!AL5,", COPPER EGC")</f>
        <v>(1) #10 AWG, THWN-2, COPPER EGC</v>
      </c>
      <c r="P67" s="441"/>
      <c r="Q67" s="441"/>
      <c r="R67" s="442"/>
      <c r="S67" s="440" t="str">
        <f>IF(Calculations!AJ5="Free Air","N/A - FREE AIR",CONCATENATE(Calculations!BA5,""" DIA. EMT"))</f>
        <v>0.75" DIA. EMT</v>
      </c>
      <c r="T67" s="441"/>
      <c r="U67" s="442"/>
      <c r="V67" s="28"/>
    </row>
    <row r="68" spans="2:22" x14ac:dyDescent="0.2">
      <c r="B68" s="440"/>
      <c r="C68" s="42" t="s">
        <v>244</v>
      </c>
      <c r="D68" s="25"/>
      <c r="E68" s="25"/>
      <c r="F68" s="25" t="str">
        <f>VLOOKUP($D$59,Inverters!$B$15:$J$28,2,FALSE)</f>
        <v>240V</v>
      </c>
      <c r="G68" s="25"/>
      <c r="H68" s="36">
        <v>3</v>
      </c>
      <c r="I68" s="440" t="str">
        <f>CONCATENATE("(",Calculations!AF6,") ","#",Calculations!AW6," AWG ",Calculations!AK6,", COPPER")</f>
        <v>(2) #10 AWG THWN-2, COPPER</v>
      </c>
      <c r="J68" s="441"/>
      <c r="K68" s="442"/>
      <c r="L68" s="440" t="str">
        <f>IF(Calculations!AG6=0,"N/A",CONCATENATE("(",Calculations!AG6,") ","#",Calculations!AX6," AWG ",Calculations!AK6,", COPPER"))</f>
        <v>(1) #10 AWG THWN-2, COPPER</v>
      </c>
      <c r="M68" s="441"/>
      <c r="N68" s="442"/>
      <c r="O68" s="440" t="str">
        <f>CONCATENATE("(",Calculations!AH6,") ","#",Calculations!AY6," AWG, ",Calculations!AL6,", COPPER EGC")</f>
        <v>(1) #10 AWG, THWN-2, COPPER EGC</v>
      </c>
      <c r="P68" s="441"/>
      <c r="Q68" s="441"/>
      <c r="R68" s="442"/>
      <c r="S68" s="440" t="str">
        <f>IF(Calculations!AJ6="Free Air","N/A - FREE AIR",CONCATENATE(Calculations!BA6,""" DIA. EMT"))</f>
        <v>0.75" DIA. EMT</v>
      </c>
      <c r="T68" s="441"/>
      <c r="U68" s="442"/>
      <c r="V68" s="28"/>
    </row>
    <row r="69" spans="2:22" x14ac:dyDescent="0.2">
      <c r="B69" s="440"/>
      <c r="C69" s="42" t="s">
        <v>245</v>
      </c>
      <c r="D69" s="25"/>
      <c r="E69" s="25"/>
      <c r="F69" s="25" t="str">
        <f>VLOOKUP($D$59,Inverters!$B$15:$J$28,5,FALSE)</f>
        <v>12.5A</v>
      </c>
      <c r="G69" s="25"/>
      <c r="H69" s="36">
        <v>4</v>
      </c>
      <c r="I69" s="440" t="str">
        <f>CONCATENATE("(",Calculations!AF7,") ","#",Calculations!AW7," AWG ",Calculations!AK7,", COPPER")</f>
        <v>(2) #10 AWG THWN-2, COPPER</v>
      </c>
      <c r="J69" s="441"/>
      <c r="K69" s="442"/>
      <c r="L69" s="440" t="str">
        <f>IF(Calculations!AG7=0,"N/A",CONCATENATE("(",Calculations!AG7,") ","#",Calculations!AX7," AWG ",Calculations!AK7,", COPPER"))</f>
        <v>(1) #10 AWG THWN-2, COPPER</v>
      </c>
      <c r="M69" s="441"/>
      <c r="N69" s="442"/>
      <c r="O69" s="440" t="str">
        <f>CONCATENATE("(",Calculations!AH7,") ","#",Calculations!AY7," AWG, ",Calculations!AL7,", COPPER EGC")</f>
        <v>(1) #10 AWG, THWN-2, COPPER EGC</v>
      </c>
      <c r="P69" s="441"/>
      <c r="Q69" s="441"/>
      <c r="R69" s="442"/>
      <c r="S69" s="440" t="str">
        <f>IF(Calculations!AJ7="Free Air","N/A - FREE AIR",CONCATENATE(Calculations!BA7,""" DIA. EMT"))</f>
        <v>0.75" DIA. EMT</v>
      </c>
      <c r="T69" s="441"/>
      <c r="U69" s="442"/>
      <c r="V69" s="28"/>
    </row>
    <row r="70" spans="2:22" x14ac:dyDescent="0.2">
      <c r="B70" s="440"/>
      <c r="C70" s="42"/>
      <c r="D70" s="25"/>
      <c r="E70" s="25"/>
      <c r="F70" s="25"/>
      <c r="G70" s="25"/>
      <c r="H70" s="36">
        <v>5</v>
      </c>
      <c r="I70" s="440" t="str">
        <f>CONCATENATE("(",Calculations!AF8,") ","#",Calculations!AW8," AWG ",Calculations!AK8,", COPPER")</f>
        <v>(2) #10 AWG THWN-2, COPPER</v>
      </c>
      <c r="J70" s="441"/>
      <c r="K70" s="442"/>
      <c r="L70" s="440" t="str">
        <f>IF(Calculations!AG8=0,"N/A",CONCATENATE("(",Calculations!AG8,") ","#",Calculations!AX8," AWG ",Calculations!AK8,", COPPER"))</f>
        <v>(1) #10 AWG THWN-2, COPPER</v>
      </c>
      <c r="M70" s="441"/>
      <c r="N70" s="442"/>
      <c r="O70" s="440" t="str">
        <f>CONCATENATE("(",Calculations!AH8,") ","#",Calculations!AY8," AWG, ",Calculations!AL8,", COPPER EGC")</f>
        <v>(1) #10 AWG, THWN-2, COPPER EGC</v>
      </c>
      <c r="P70" s="441"/>
      <c r="Q70" s="441"/>
      <c r="R70" s="442"/>
      <c r="S70" s="440" t="str">
        <f>IF(Calculations!AJ8="Free Air","N/A - FREE AIR",CONCATENATE(Calculations!BA8,""" DIA. EMT"))</f>
        <v>0.75" DIA. EMT</v>
      </c>
      <c r="T70" s="441"/>
      <c r="U70" s="442"/>
      <c r="V70" s="28"/>
    </row>
    <row r="71" spans="2:22" x14ac:dyDescent="0.2">
      <c r="B71" s="440"/>
      <c r="C71" s="44"/>
      <c r="D71" s="26"/>
      <c r="E71" s="26"/>
      <c r="F71" s="26"/>
      <c r="G71" s="48"/>
      <c r="H71" s="29"/>
      <c r="I71" s="426"/>
      <c r="J71" s="427"/>
      <c r="K71" s="428"/>
      <c r="L71" s="426"/>
      <c r="M71" s="427"/>
      <c r="N71" s="428"/>
      <c r="O71" s="426"/>
      <c r="P71" s="427"/>
      <c r="Q71" s="427"/>
      <c r="R71" s="428"/>
      <c r="S71" s="426"/>
      <c r="T71" s="427"/>
      <c r="U71" s="428"/>
      <c r="V71" s="28"/>
    </row>
    <row r="72" spans="2:22" x14ac:dyDescent="0.2">
      <c r="B72" s="440"/>
      <c r="C72" s="25"/>
      <c r="D72" s="25"/>
      <c r="E72" s="25"/>
      <c r="F72" s="25"/>
      <c r="G72" s="25"/>
      <c r="H72" s="25"/>
      <c r="I72" s="25"/>
      <c r="J72" s="25"/>
      <c r="K72" s="25"/>
      <c r="L72" s="25"/>
      <c r="M72" s="25"/>
      <c r="N72" s="25"/>
      <c r="O72" s="25"/>
      <c r="P72" s="25"/>
      <c r="Q72" s="25"/>
      <c r="R72" s="25"/>
      <c r="S72" s="25"/>
      <c r="T72" s="25"/>
      <c r="U72" s="25"/>
      <c r="V72" s="28"/>
    </row>
    <row r="73" spans="2:22" x14ac:dyDescent="0.2">
      <c r="B73" s="440"/>
      <c r="C73" s="25"/>
      <c r="D73" s="25"/>
      <c r="E73" s="25"/>
      <c r="F73" s="25"/>
      <c r="G73" s="25"/>
      <c r="H73" s="25"/>
      <c r="I73" s="25"/>
      <c r="J73" s="25"/>
      <c r="K73" s="25"/>
      <c r="L73" s="25"/>
      <c r="M73" s="25"/>
      <c r="N73" s="25"/>
      <c r="O73" s="25"/>
      <c r="P73" s="25"/>
      <c r="Q73" s="25"/>
      <c r="R73" s="25"/>
      <c r="S73" s="25"/>
      <c r="T73" s="25"/>
      <c r="U73" s="25"/>
      <c r="V73" s="28"/>
    </row>
    <row r="74" spans="2:22" x14ac:dyDescent="0.2">
      <c r="B74" s="440"/>
      <c r="C74" s="25"/>
      <c r="D74" s="25"/>
      <c r="E74" s="25"/>
      <c r="F74" s="25"/>
      <c r="G74" s="25"/>
      <c r="H74" s="25"/>
      <c r="I74" s="25"/>
      <c r="J74" s="25"/>
      <c r="K74" s="25"/>
      <c r="L74" s="25"/>
      <c r="M74" s="25"/>
      <c r="N74" s="25"/>
      <c r="O74" s="25"/>
      <c r="P74" s="25"/>
      <c r="Q74" s="25"/>
      <c r="R74" s="25"/>
      <c r="S74" s="25"/>
      <c r="T74" s="25"/>
      <c r="U74" s="25"/>
      <c r="V74" s="28"/>
    </row>
    <row r="75" spans="2:22" x14ac:dyDescent="0.2">
      <c r="B75" s="440"/>
      <c r="C75" s="25"/>
      <c r="D75" s="25"/>
      <c r="E75" s="25"/>
      <c r="F75" s="25"/>
      <c r="G75" s="25"/>
      <c r="H75" s="25"/>
      <c r="I75" s="25"/>
      <c r="J75" s="25"/>
      <c r="K75" s="25"/>
      <c r="L75" s="25"/>
      <c r="M75" s="25"/>
      <c r="N75" s="25"/>
      <c r="O75" s="25"/>
      <c r="P75" s="25"/>
      <c r="Q75" s="25"/>
      <c r="R75" s="25"/>
      <c r="S75" s="25"/>
      <c r="T75" s="25"/>
      <c r="U75" s="25"/>
      <c r="V75" s="28"/>
    </row>
    <row r="76" spans="2:22" x14ac:dyDescent="0.2">
      <c r="B76" s="440"/>
      <c r="C76" s="25"/>
      <c r="D76" s="25"/>
      <c r="E76" s="25"/>
      <c r="F76" s="25"/>
      <c r="G76" s="25"/>
      <c r="H76" s="25"/>
      <c r="I76" s="25"/>
      <c r="J76" s="25"/>
      <c r="K76" s="25"/>
      <c r="L76" s="25"/>
      <c r="M76" s="25"/>
      <c r="N76" s="25"/>
      <c r="O76" s="25"/>
      <c r="P76" s="25"/>
      <c r="Q76" s="25"/>
      <c r="R76" s="25"/>
      <c r="S76" s="25"/>
      <c r="T76" s="25"/>
      <c r="U76" s="25"/>
      <c r="V76" s="28"/>
    </row>
    <row r="77" spans="2:22" x14ac:dyDescent="0.2">
      <c r="B77" s="426"/>
      <c r="C77" s="26"/>
      <c r="D77" s="26"/>
      <c r="E77" s="26"/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  <c r="S77" s="26"/>
      <c r="T77" s="26"/>
      <c r="U77" s="26"/>
      <c r="V77" s="48"/>
    </row>
  </sheetData>
  <mergeCells count="193">
    <mergeCell ref="D41:F41"/>
    <mergeCell ref="G41:H41"/>
    <mergeCell ref="I41:J41"/>
    <mergeCell ref="K41:L41"/>
    <mergeCell ref="M41:O41"/>
    <mergeCell ref="P41:Q41"/>
    <mergeCell ref="D42:F42"/>
    <mergeCell ref="G42:H42"/>
    <mergeCell ref="I42:J42"/>
    <mergeCell ref="K42:L42"/>
    <mergeCell ref="M42:O42"/>
    <mergeCell ref="P42:Q42"/>
    <mergeCell ref="D35:F35"/>
    <mergeCell ref="G35:H35"/>
    <mergeCell ref="I35:K35"/>
    <mergeCell ref="M35:O35"/>
    <mergeCell ref="P35:R35"/>
    <mergeCell ref="S35:U35"/>
    <mergeCell ref="D36:F36"/>
    <mergeCell ref="G36:H36"/>
    <mergeCell ref="I36:K36"/>
    <mergeCell ref="M36:O36"/>
    <mergeCell ref="P36:R36"/>
    <mergeCell ref="S36:U36"/>
    <mergeCell ref="X2:Y2"/>
    <mergeCell ref="I71:K71"/>
    <mergeCell ref="L71:N71"/>
    <mergeCell ref="O71:R71"/>
    <mergeCell ref="S71:U71"/>
    <mergeCell ref="B49:V49"/>
    <mergeCell ref="B54:B77"/>
    <mergeCell ref="B50:V50"/>
    <mergeCell ref="I70:K70"/>
    <mergeCell ref="L70:N70"/>
    <mergeCell ref="O70:R70"/>
    <mergeCell ref="S70:U70"/>
    <mergeCell ref="I69:K69"/>
    <mergeCell ref="L69:N69"/>
    <mergeCell ref="O69:R69"/>
    <mergeCell ref="S69:U69"/>
    <mergeCell ref="I68:K68"/>
    <mergeCell ref="L68:N68"/>
    <mergeCell ref="O68:R68"/>
    <mergeCell ref="S68:U68"/>
    <mergeCell ref="I67:K67"/>
    <mergeCell ref="C44:U44"/>
    <mergeCell ref="C46:U46"/>
    <mergeCell ref="R61:S61"/>
    <mergeCell ref="R62:S62"/>
    <mergeCell ref="R63:S63"/>
    <mergeCell ref="I66:K66"/>
    <mergeCell ref="L67:N67"/>
    <mergeCell ref="O67:R67"/>
    <mergeCell ref="S67:U67"/>
    <mergeCell ref="L66:N66"/>
    <mergeCell ref="O66:R66"/>
    <mergeCell ref="S66:U66"/>
    <mergeCell ref="H64:U64"/>
    <mergeCell ref="I65:K65"/>
    <mergeCell ref="L65:N65"/>
    <mergeCell ref="O65:R65"/>
    <mergeCell ref="S65:U65"/>
    <mergeCell ref="I38:J38"/>
    <mergeCell ref="K38:L38"/>
    <mergeCell ref="M38:O38"/>
    <mergeCell ref="D38:F38"/>
    <mergeCell ref="G38:H38"/>
    <mergeCell ref="P38:Q38"/>
    <mergeCell ref="M39:O39"/>
    <mergeCell ref="P39:Q39"/>
    <mergeCell ref="D40:F40"/>
    <mergeCell ref="G40:H40"/>
    <mergeCell ref="I40:J40"/>
    <mergeCell ref="K40:L40"/>
    <mergeCell ref="M40:O40"/>
    <mergeCell ref="P40:Q40"/>
    <mergeCell ref="D39:F39"/>
    <mergeCell ref="G39:H39"/>
    <mergeCell ref="I39:J39"/>
    <mergeCell ref="K39:L39"/>
    <mergeCell ref="D34:F34"/>
    <mergeCell ref="G34:H34"/>
    <mergeCell ref="I34:K34"/>
    <mergeCell ref="M34:O34"/>
    <mergeCell ref="P34:R34"/>
    <mergeCell ref="S34:U34"/>
    <mergeCell ref="D33:F33"/>
    <mergeCell ref="G33:H33"/>
    <mergeCell ref="I33:K33"/>
    <mergeCell ref="M33:O33"/>
    <mergeCell ref="P33:R33"/>
    <mergeCell ref="S33:U33"/>
    <mergeCell ref="R28:U28"/>
    <mergeCell ref="C29:D29"/>
    <mergeCell ref="E29:G29"/>
    <mergeCell ref="H29:J29"/>
    <mergeCell ref="K29:N29"/>
    <mergeCell ref="O29:Q29"/>
    <mergeCell ref="R29:U29"/>
    <mergeCell ref="S31:U31"/>
    <mergeCell ref="D32:F32"/>
    <mergeCell ref="G32:H32"/>
    <mergeCell ref="I32:K32"/>
    <mergeCell ref="M32:O32"/>
    <mergeCell ref="P32:R32"/>
    <mergeCell ref="S32:U32"/>
    <mergeCell ref="C28:D28"/>
    <mergeCell ref="E28:G28"/>
    <mergeCell ref="H28:J28"/>
    <mergeCell ref="K28:N28"/>
    <mergeCell ref="O28:Q28"/>
    <mergeCell ref="D31:F31"/>
    <mergeCell ref="G31:H31"/>
    <mergeCell ref="I31:K31"/>
    <mergeCell ref="M31:O31"/>
    <mergeCell ref="P31:R31"/>
    <mergeCell ref="T25:U25"/>
    <mergeCell ref="C27:J27"/>
    <mergeCell ref="H25:I25"/>
    <mergeCell ref="J25:K25"/>
    <mergeCell ref="L25:M25"/>
    <mergeCell ref="N25:O25"/>
    <mergeCell ref="P25:Q25"/>
    <mergeCell ref="R25:S25"/>
    <mergeCell ref="C25:D25"/>
    <mergeCell ref="E25:G25"/>
    <mergeCell ref="K27:U27"/>
    <mergeCell ref="C19:D19"/>
    <mergeCell ref="E19:G19"/>
    <mergeCell ref="H19:J19"/>
    <mergeCell ref="S19:U19"/>
    <mergeCell ref="K19:M19"/>
    <mergeCell ref="N19:P19"/>
    <mergeCell ref="Q19:R19"/>
    <mergeCell ref="C23:D24"/>
    <mergeCell ref="R23:S24"/>
    <mergeCell ref="T23:U24"/>
    <mergeCell ref="E23:G24"/>
    <mergeCell ref="H23:I24"/>
    <mergeCell ref="J23:K24"/>
    <mergeCell ref="L23:M24"/>
    <mergeCell ref="K20:M20"/>
    <mergeCell ref="N20:P20"/>
    <mergeCell ref="Q20:R20"/>
    <mergeCell ref="S20:U20"/>
    <mergeCell ref="C22:U22"/>
    <mergeCell ref="C20:D20"/>
    <mergeCell ref="E20:G20"/>
    <mergeCell ref="H20:J20"/>
    <mergeCell ref="N23:O24"/>
    <mergeCell ref="P23:Q24"/>
    <mergeCell ref="C14:U14"/>
    <mergeCell ref="C12:G12"/>
    <mergeCell ref="H12:J12"/>
    <mergeCell ref="T15:U15"/>
    <mergeCell ref="H15:I15"/>
    <mergeCell ref="J15:K15"/>
    <mergeCell ref="L15:M15"/>
    <mergeCell ref="N15:O15"/>
    <mergeCell ref="C16:D16"/>
    <mergeCell ref="E16:G16"/>
    <mergeCell ref="H16:I16"/>
    <mergeCell ref="J16:K16"/>
    <mergeCell ref="L16:M16"/>
    <mergeCell ref="N16:O16"/>
    <mergeCell ref="P15:Q15"/>
    <mergeCell ref="R15:S15"/>
    <mergeCell ref="C15:D15"/>
    <mergeCell ref="E15:G15"/>
    <mergeCell ref="C18:U18"/>
    <mergeCell ref="P16:Q16"/>
    <mergeCell ref="R16:S16"/>
    <mergeCell ref="X14:Y14"/>
    <mergeCell ref="B2:V2"/>
    <mergeCell ref="C6:J6"/>
    <mergeCell ref="C7:G7"/>
    <mergeCell ref="C8:G8"/>
    <mergeCell ref="R8:U8"/>
    <mergeCell ref="C9:G9"/>
    <mergeCell ref="R9:S9"/>
    <mergeCell ref="T9:U9"/>
    <mergeCell ref="T10:U10"/>
    <mergeCell ref="C11:G11"/>
    <mergeCell ref="H11:J11"/>
    <mergeCell ref="R11:S11"/>
    <mergeCell ref="T11:U11"/>
    <mergeCell ref="C10:G10"/>
    <mergeCell ref="H10:J10"/>
    <mergeCell ref="R10:S10"/>
    <mergeCell ref="B3:V3"/>
    <mergeCell ref="T16:U16"/>
    <mergeCell ref="R12:S12"/>
    <mergeCell ref="T12:U12"/>
  </mergeCells>
  <conditionalFormatting sqref="H70:U70">
    <cfRule type="expression" dxfId="63" priority="8">
      <formula>OR($Y$22="3",$Y$22=3,$Y$22="4",$Y$22=4)</formula>
    </cfRule>
  </conditionalFormatting>
  <conditionalFormatting sqref="H69:U69">
    <cfRule type="expression" dxfId="62" priority="7">
      <formula>OR($Y$22="3",$Y$22=3)</formula>
    </cfRule>
  </conditionalFormatting>
  <conditionalFormatting sqref="C41:Q41 C35:K35 M35:U35">
    <cfRule type="expression" dxfId="61" priority="6">
      <formula>OR($Y$22="3",$Y$22=3)</formula>
    </cfRule>
  </conditionalFormatting>
  <conditionalFormatting sqref="C36:K36 C42:Q42 M36:U36">
    <cfRule type="expression" dxfId="60" priority="4">
      <formula>OR($Y$22="3",$Y$22=3)</formula>
    </cfRule>
    <cfRule type="expression" dxfId="59" priority="5">
      <formula>OR($Y$22="4",$Y$22=4)</formula>
    </cfRule>
  </conditionalFormatting>
  <conditionalFormatting sqref="L36">
    <cfRule type="expression" dxfId="58" priority="3">
      <formula>OR($Y$22="4",$Y$22=4)</formula>
    </cfRule>
    <cfRule type="expression" dxfId="57" priority="2">
      <formula>OR($Y$22="3",$Y$22=3)</formula>
    </cfRule>
  </conditionalFormatting>
  <conditionalFormatting sqref="L35">
    <cfRule type="expression" dxfId="56" priority="1">
      <formula>OR($Y$22="3",$Y$22=3)</formula>
    </cfRule>
  </conditionalFormatting>
  <pageMargins left="0.7" right="0.7" top="0.75" bottom="0.75" header="0.3" footer="0.3"/>
  <pageSetup orientation="portrait" horizontalDpi="360" verticalDpi="360" r:id="rId1"/>
  <ignoredErrors>
    <ignoredError sqref="I8" formula="1"/>
  </ignoredError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0" id="{811F0684-C24B-4247-826D-CB17A44C47EF}">
            <xm:f>Input!$D$8=2008</xm:f>
            <x14:dxf>
              <font>
                <color theme="0"/>
              </font>
            </x14:dxf>
          </x14:cfRule>
          <x14:cfRule type="expression" priority="11" id="{CE0AF02D-5B41-42D1-B245-9944CAD96AD6}">
            <xm:f>Input!$D$8=2011</xm:f>
            <x14:dxf>
              <font>
                <color theme="0"/>
              </font>
            </x14:dxf>
          </x14:cfRule>
          <x14:cfRule type="expression" priority="12" id="{10BC17BA-77DB-4B47-8324-6BB87EE396C4}">
            <xm:f>Input!$D$8=2014</xm:f>
            <x14:dxf>
              <font>
                <color theme="0"/>
              </font>
            </x14:dxf>
          </x14:cfRule>
          <xm:sqref>C46:U46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E46DC6-9CD6-45C6-8709-B5C7BDBA4FC9}">
  <sheetPr codeName="Sheet11">
    <tabColor rgb="FF00B0F0"/>
  </sheetPr>
  <dimension ref="B1:BN1606"/>
  <sheetViews>
    <sheetView topLeftCell="AE1" zoomScale="80" zoomScaleNormal="80" workbookViewId="0">
      <selection activeCell="AE1" sqref="AE1"/>
    </sheetView>
  </sheetViews>
  <sheetFormatPr defaultRowHeight="15" customHeight="1" x14ac:dyDescent="0.2"/>
  <cols>
    <col min="1" max="1" width="9.140625" style="1" customWidth="1"/>
    <col min="2" max="2" width="18.85546875" style="5" customWidth="1"/>
    <col min="3" max="4" width="20.140625" style="5" customWidth="1"/>
    <col min="5" max="5" width="9.140625" style="5" customWidth="1"/>
    <col min="6" max="7" width="9.85546875" style="5" customWidth="1"/>
    <col min="8" max="9" width="15.7109375" style="5" customWidth="1"/>
    <col min="10" max="12" width="9.140625" style="1" customWidth="1"/>
    <col min="13" max="14" width="20.140625" style="1" customWidth="1"/>
    <col min="15" max="17" width="9.140625" style="1" customWidth="1"/>
    <col min="18" max="19" width="10.7109375" style="1" customWidth="1"/>
    <col min="20" max="20" width="9.140625" style="1" customWidth="1"/>
    <col min="21" max="21" width="19.28515625" style="5" customWidth="1"/>
    <col min="22" max="22" width="9.5703125" style="1" customWidth="1"/>
    <col min="23" max="23" width="20.140625" style="1" customWidth="1"/>
    <col min="24" max="24" width="10.42578125" style="1" customWidth="1"/>
    <col min="25" max="25" width="18.28515625" style="5" customWidth="1"/>
    <col min="26" max="26" width="9.140625" style="1" customWidth="1"/>
    <col min="27" max="27" width="10.5703125" style="5" customWidth="1"/>
    <col min="28" max="28" width="11.28515625" style="5" customWidth="1"/>
    <col min="29" max="29" width="20.140625" style="1" customWidth="1"/>
    <col min="30" max="30" width="9.140625" style="1"/>
    <col min="31" max="32" width="17.28515625" style="189" bestFit="1" customWidth="1"/>
    <col min="33" max="33" width="13.7109375" style="1" bestFit="1" customWidth="1"/>
    <col min="34" max="34" width="13.85546875" style="1" bestFit="1" customWidth="1"/>
    <col min="35" max="35" width="12.140625" style="1" customWidth="1"/>
    <col min="36" max="36" width="11.5703125" style="1" customWidth="1"/>
    <col min="37" max="37" width="11.42578125" style="1" bestFit="1" customWidth="1"/>
    <col min="38" max="38" width="12.85546875" style="1" customWidth="1"/>
    <col min="39" max="39" width="14.28515625" style="1" bestFit="1" customWidth="1"/>
    <col min="40" max="40" width="10.7109375" style="1" bestFit="1" customWidth="1"/>
    <col min="41" max="41" width="15.7109375" style="1" bestFit="1" customWidth="1"/>
    <col min="42" max="42" width="11.7109375" style="1" bestFit="1" customWidth="1"/>
    <col min="43" max="43" width="14.140625" style="1" customWidth="1"/>
    <col min="44" max="44" width="21.5703125" style="1" bestFit="1" customWidth="1"/>
    <col min="45" max="45" width="19.42578125" style="1" bestFit="1" customWidth="1"/>
    <col min="46" max="51" width="15.7109375" style="1" customWidth="1"/>
    <col min="52" max="52" width="10.7109375" style="1" bestFit="1" customWidth="1"/>
    <col min="53" max="53" width="10.140625" style="1" bestFit="1" customWidth="1"/>
    <col min="54" max="54" width="21.5703125" style="1" bestFit="1" customWidth="1"/>
    <col min="55" max="56" width="18.85546875" style="1" bestFit="1" customWidth="1"/>
    <col min="57" max="57" width="15.140625" style="1" bestFit="1" customWidth="1"/>
    <col min="58" max="58" width="9.140625" style="1"/>
    <col min="59" max="59" width="32.7109375" style="30" customWidth="1"/>
    <col min="60" max="61" width="12.7109375" style="30" customWidth="1"/>
    <col min="62" max="62" width="9.140625" style="30"/>
    <col min="63" max="63" width="32.7109375" style="30" customWidth="1"/>
    <col min="64" max="64" width="18.7109375" style="30" customWidth="1"/>
    <col min="65" max="65" width="10.7109375" style="30" customWidth="1"/>
    <col min="66" max="66" width="9.140625" style="30"/>
    <col min="67" max="16384" width="9.140625" style="1"/>
  </cols>
  <sheetData>
    <row r="1" spans="2:66" ht="15" customHeight="1" thickBot="1" x14ac:dyDescent="0.25">
      <c r="AQ1" s="512" t="s">
        <v>55</v>
      </c>
    </row>
    <row r="2" spans="2:66" ht="15" customHeight="1" thickBot="1" x14ac:dyDescent="0.25">
      <c r="AI2" s="536" t="str">
        <f>IF(AF24="Texas Energy Experts","0.4% DB High Temp","2% DB 
High Temp")</f>
        <v>2% DB 
High Temp</v>
      </c>
      <c r="AK2" s="101" t="s">
        <v>215</v>
      </c>
      <c r="AL2" s="101" t="s">
        <v>113</v>
      </c>
      <c r="AN2" s="190"/>
      <c r="AQ2" s="513"/>
      <c r="AR2" s="190"/>
      <c r="AS2" s="63"/>
      <c r="AT2" s="458" t="s">
        <v>672</v>
      </c>
      <c r="AU2" s="459"/>
      <c r="AV2" s="460"/>
      <c r="AW2" s="458" t="s">
        <v>522</v>
      </c>
      <c r="AX2" s="459"/>
      <c r="AY2" s="460"/>
      <c r="BA2" s="191"/>
      <c r="BB2" s="191"/>
      <c r="BC2" s="538" t="s">
        <v>73</v>
      </c>
      <c r="BD2" s="538"/>
      <c r="BE2" s="192" t="s">
        <v>79</v>
      </c>
      <c r="BG2" s="533" t="s">
        <v>120</v>
      </c>
      <c r="BH2" s="534"/>
      <c r="BI2" s="534"/>
      <c r="BJ2" s="534"/>
      <c r="BK2" s="534"/>
      <c r="BL2" s="534"/>
      <c r="BM2" s="535"/>
      <c r="BN2" s="3"/>
    </row>
    <row r="3" spans="2:66" ht="15" customHeight="1" x14ac:dyDescent="0.2">
      <c r="B3" s="478" t="s">
        <v>12</v>
      </c>
      <c r="C3" s="478"/>
      <c r="D3" s="478"/>
      <c r="F3" s="539" t="s">
        <v>15</v>
      </c>
      <c r="G3" s="539"/>
      <c r="H3" s="539"/>
      <c r="I3" s="539"/>
      <c r="J3" s="3"/>
      <c r="K3" s="539" t="s">
        <v>15</v>
      </c>
      <c r="L3" s="539"/>
      <c r="M3" s="539"/>
      <c r="N3" s="539"/>
      <c r="O3" s="3"/>
      <c r="P3" s="478" t="s">
        <v>20</v>
      </c>
      <c r="Q3" s="478"/>
      <c r="R3" s="478"/>
      <c r="S3" s="478"/>
      <c r="T3" s="3"/>
      <c r="U3" s="478" t="s">
        <v>56</v>
      </c>
      <c r="V3" s="478"/>
      <c r="W3" s="478"/>
      <c r="X3" s="478"/>
      <c r="Y3" s="478"/>
      <c r="Z3" s="3"/>
      <c r="AA3" s="478" t="s">
        <v>65</v>
      </c>
      <c r="AB3" s="478"/>
      <c r="AC3" s="478"/>
      <c r="AE3" s="193" t="s">
        <v>11</v>
      </c>
      <c r="AF3" s="193" t="s">
        <v>7</v>
      </c>
      <c r="AG3" s="37" t="s">
        <v>6</v>
      </c>
      <c r="AH3" s="194" t="s">
        <v>5</v>
      </c>
      <c r="AI3" s="537"/>
      <c r="AJ3" s="195" t="s">
        <v>85</v>
      </c>
      <c r="AK3" s="29" t="s">
        <v>57</v>
      </c>
      <c r="AL3" s="29" t="s">
        <v>57</v>
      </c>
      <c r="AM3" s="196" t="s">
        <v>0</v>
      </c>
      <c r="AN3" s="37" t="s">
        <v>1</v>
      </c>
      <c r="AO3" s="37" t="s">
        <v>2</v>
      </c>
      <c r="AP3" s="37" t="s">
        <v>224</v>
      </c>
      <c r="AQ3" s="37" t="s">
        <v>3</v>
      </c>
      <c r="AR3" s="92" t="s">
        <v>4</v>
      </c>
      <c r="AS3" s="37" t="s">
        <v>52</v>
      </c>
      <c r="AT3" s="92" t="s">
        <v>8</v>
      </c>
      <c r="AU3" s="92" t="s">
        <v>64</v>
      </c>
      <c r="AV3" s="92" t="s">
        <v>9</v>
      </c>
      <c r="AW3" s="97" t="s">
        <v>8</v>
      </c>
      <c r="AX3" s="97" t="s">
        <v>64</v>
      </c>
      <c r="AY3" s="97" t="s">
        <v>9</v>
      </c>
      <c r="AZ3" s="37" t="s">
        <v>53</v>
      </c>
      <c r="BA3" s="92" t="s">
        <v>10</v>
      </c>
      <c r="BB3" s="92" t="s">
        <v>780</v>
      </c>
      <c r="BC3" s="37" t="s">
        <v>71</v>
      </c>
      <c r="BD3" s="37" t="s">
        <v>72</v>
      </c>
      <c r="BE3" s="37" t="s">
        <v>78</v>
      </c>
    </row>
    <row r="4" spans="2:66" ht="15" customHeight="1" x14ac:dyDescent="0.2">
      <c r="F4" s="509" t="s">
        <v>234</v>
      </c>
      <c r="G4" s="509"/>
      <c r="H4" s="509"/>
      <c r="I4" s="509"/>
      <c r="J4" s="4"/>
      <c r="K4" s="509" t="s">
        <v>235</v>
      </c>
      <c r="L4" s="509"/>
      <c r="M4" s="509"/>
      <c r="N4" s="509"/>
      <c r="O4" s="4"/>
      <c r="T4" s="4"/>
      <c r="U4" s="4"/>
      <c r="V4" s="4"/>
      <c r="W4" s="4"/>
      <c r="X4" s="4"/>
      <c r="Y4" s="4"/>
      <c r="Z4" s="4"/>
      <c r="AC4" s="4"/>
      <c r="AE4" s="193">
        <v>1</v>
      </c>
      <c r="AF4" s="197">
        <f>$AE$12*2</f>
        <v>2</v>
      </c>
      <c r="AG4" s="37">
        <v>0</v>
      </c>
      <c r="AH4" s="37">
        <v>1</v>
      </c>
      <c r="AI4" s="37">
        <f>IF(Input!$D$8=2017,$AG$18,$AG$18+33)</f>
        <v>25</v>
      </c>
      <c r="AJ4" s="198" t="s">
        <v>86</v>
      </c>
      <c r="AK4" s="199" t="s">
        <v>115</v>
      </c>
      <c r="AL4" s="199" t="s">
        <v>222</v>
      </c>
      <c r="AM4" s="200">
        <f t="shared" ref="AM4:AM9" si="0">IF(AK4="THWN",VLOOKUP(ROUNDUP(AI4,0),$U$8:$Y$83,3,FALSE),VLOOKUP(ROUNDUP(AI4,0),$U$8:$Y$83,4,FALSE))</f>
        <v>1.04</v>
      </c>
      <c r="AN4" s="200">
        <f>IF(AJ4="Free Air",1,LOOKUP(AF4,1/($R$8:$R$14&lt;=AF4)/($S$8:$S$14&gt;=AF4),$P$8:$P$14))</f>
        <v>1</v>
      </c>
      <c r="AO4" s="97">
        <f>$BK$39</f>
        <v>15</v>
      </c>
      <c r="AP4" s="97" t="s">
        <v>88</v>
      </c>
      <c r="AQ4" s="200">
        <f>ROUND(AO4*1.25,2)</f>
        <v>18.75</v>
      </c>
      <c r="AR4" s="308">
        <f t="shared" ref="AR4:AR8" si="1">ROUND(AO4/(AM4*AN4),2)</f>
        <v>14.42</v>
      </c>
      <c r="AS4" s="200">
        <f>AR4</f>
        <v>14.42</v>
      </c>
      <c r="AT4" s="97">
        <f t="shared" ref="AT4:AT5" si="2">LOOKUP(AS4,1/($H$7:$H$34&lt;=AS4)/($I$7:$I$34&gt;=AS4),$F$7:$F$34)</f>
        <v>10</v>
      </c>
      <c r="AU4" s="97">
        <f t="shared" ref="AU4:AU9" si="3">AT4</f>
        <v>10</v>
      </c>
      <c r="AV4" s="96">
        <f>IF(AJ4="Free Air",6,LOOKUP(AQ4,1/($C$7:$C$25&lt;=AQ4)/($D$7:$D$25&gt;=AQ4),$B$7:$B$25))</f>
        <v>6</v>
      </c>
      <c r="AW4" s="92">
        <f>'Voltage Drop'!AH29</f>
        <v>10</v>
      </c>
      <c r="AX4" s="92">
        <f>'Voltage Drop'!AI29</f>
        <v>10</v>
      </c>
      <c r="AY4" s="92">
        <f>AV4</f>
        <v>6</v>
      </c>
      <c r="AZ4" s="195">
        <f>(AF4*(VLOOKUP(AW4,$P$27:$S$50,3,FALSE)))+(AG4*(VLOOKUP(AX4,$P$27:$S$50,3,FALSE)))+(AH4*(VLOOKUP(AY4,$P$27:$S$50,3,FALSE)))</f>
        <v>9.290000000000001E-2</v>
      </c>
      <c r="BA4" s="37">
        <f t="shared" ref="BA4:BA8" si="4">IF(AZ4&lt;$S$57,$P$57,IF(AND(AZ4&gt;$S$57,AZ4&lt;$S$58),$P$58,IF(AND(AZ4&gt;$S$58,AZ4&lt;$S$59),$P$59,IF(AND(AZ4&gt;$S$59,AZ4&lt;$S$60),$P$60,IF(AND(AZ4&gt;$S$60,AZ4&lt;$S$61),$P$61,IF(AND(AZ4&gt;$S$61,AZ4&lt;$S$62),$P$62,IF(AND(AZ4&gt;$S$62,AZ4&lt;$S$63),$P$63,IF(AND(AZ4&gt;$S$63,AZ4&lt;$S$64),$P$64,IF(AND(AZ4&gt;$S$64,AZ4&lt;$S$65),$P$65,IF(AND(AZ4&gt;$S$65,AZ4&lt;$S$66),$P$66,"Error"))))))))))</f>
        <v>0.75</v>
      </c>
      <c r="BB4" s="97" t="s">
        <v>94</v>
      </c>
      <c r="BC4" s="37">
        <f t="shared" ref="BC4:BC9" si="5">VLOOKUP(AW4,$P$93:$S$122,3,FALSE)</f>
        <v>35</v>
      </c>
      <c r="BD4" s="37">
        <f t="shared" ref="BD4:BD8" si="6">ROUND(BC4*(AM4*AN4),2)</f>
        <v>36.4</v>
      </c>
      <c r="BE4" s="37">
        <f t="shared" ref="BE4:BE9" si="7">IF(AT4=14,15,IF(AT4=12,20,IF(AT4=10,30,"N/A")))</f>
        <v>30</v>
      </c>
      <c r="BG4" s="530" t="s">
        <v>121</v>
      </c>
      <c r="BH4" s="531"/>
      <c r="BI4" s="532"/>
      <c r="BJ4" s="31"/>
      <c r="BK4" s="530" t="s">
        <v>122</v>
      </c>
      <c r="BL4" s="531"/>
      <c r="BM4" s="532"/>
      <c r="BN4" s="31"/>
    </row>
    <row r="5" spans="2:66" ht="15" customHeight="1" x14ac:dyDescent="0.2">
      <c r="B5" s="446" t="s">
        <v>13</v>
      </c>
      <c r="C5" s="446"/>
      <c r="D5" s="446"/>
      <c r="F5" s="482"/>
      <c r="G5" s="482"/>
      <c r="H5" s="482"/>
      <c r="I5" s="482"/>
      <c r="J5" s="4"/>
      <c r="K5" s="482"/>
      <c r="L5" s="482"/>
      <c r="M5" s="482"/>
      <c r="N5" s="482"/>
      <c r="O5" s="4"/>
      <c r="P5" s="482" t="s">
        <v>21</v>
      </c>
      <c r="Q5" s="482"/>
      <c r="R5" s="482"/>
      <c r="S5" s="482"/>
      <c r="T5" s="4"/>
      <c r="U5" s="398" t="s">
        <v>44</v>
      </c>
      <c r="V5" s="400"/>
      <c r="W5" s="400"/>
      <c r="X5" s="400"/>
      <c r="Y5" s="399"/>
      <c r="Z5" s="4"/>
      <c r="AA5" s="483" t="s">
        <v>66</v>
      </c>
      <c r="AB5" s="483"/>
      <c r="AC5" s="483"/>
      <c r="AE5" s="193">
        <v>2</v>
      </c>
      <c r="AF5" s="197">
        <f>$AE$12*2</f>
        <v>2</v>
      </c>
      <c r="AG5" s="37">
        <v>0</v>
      </c>
      <c r="AH5" s="37">
        <v>1</v>
      </c>
      <c r="AI5" s="37">
        <f>IF(Input!$D$8=2017,$AG$18,$AG$18+33)</f>
        <v>25</v>
      </c>
      <c r="AJ5" s="198" t="s">
        <v>87</v>
      </c>
      <c r="AK5" s="199" t="s">
        <v>60</v>
      </c>
      <c r="AL5" s="199" t="s">
        <v>60</v>
      </c>
      <c r="AM5" s="200">
        <f t="shared" si="0"/>
        <v>1.04</v>
      </c>
      <c r="AN5" s="200">
        <f t="shared" ref="AN5:AN8" si="8">IF(AJ5="Free Air",1,LOOKUP(AF5,1/($R$8:$R$14&lt;=AF5)/($S$8:$S$14&gt;=AF5),$P$8:$P$14))</f>
        <v>1</v>
      </c>
      <c r="AO5" s="97">
        <f>$BK$39</f>
        <v>15</v>
      </c>
      <c r="AP5" s="97" t="s">
        <v>88</v>
      </c>
      <c r="AQ5" s="200">
        <f t="shared" ref="AQ5:AQ8" si="9">ROUND(AO5*1.25,2)</f>
        <v>18.75</v>
      </c>
      <c r="AR5" s="308">
        <f t="shared" si="1"/>
        <v>14.42</v>
      </c>
      <c r="AS5" s="200">
        <f>AR5</f>
        <v>14.42</v>
      </c>
      <c r="AT5" s="97">
        <f t="shared" si="2"/>
        <v>10</v>
      </c>
      <c r="AU5" s="97">
        <f t="shared" si="3"/>
        <v>10</v>
      </c>
      <c r="AV5" s="96">
        <f t="shared" ref="AV5:AV9" si="10">IF(AJ5="Free Air",6,LOOKUP(AQ5,1/($C$7:$C$25&lt;=AQ5)/($D$7:$D$25&gt;=AQ5),$B$7:$B$25))</f>
        <v>10</v>
      </c>
      <c r="AW5" s="92">
        <f>'Voltage Drop'!AH30</f>
        <v>10</v>
      </c>
      <c r="AX5" s="92">
        <f>'Voltage Drop'!AI30</f>
        <v>10</v>
      </c>
      <c r="AY5" s="92">
        <f t="shared" ref="AY5:AY9" si="11">AV5</f>
        <v>10</v>
      </c>
      <c r="AZ5" s="195">
        <f t="shared" ref="AZ5:AZ8" si="12">(AF5*(VLOOKUP(AW5,$P$27:$S$50,3,FALSE)))+(AG5*(VLOOKUP(AX5,$P$27:$S$50,3,FALSE)))+(AH5*(VLOOKUP(AY5,$P$27:$S$50,3,FALSE)))</f>
        <v>6.3299999999999995E-2</v>
      </c>
      <c r="BA5" s="37">
        <f t="shared" si="4"/>
        <v>0.75</v>
      </c>
      <c r="BB5" s="97" t="s">
        <v>94</v>
      </c>
      <c r="BC5" s="37">
        <f t="shared" si="5"/>
        <v>35</v>
      </c>
      <c r="BD5" s="37">
        <f t="shared" si="6"/>
        <v>36.4</v>
      </c>
      <c r="BE5" s="37">
        <f t="shared" si="7"/>
        <v>30</v>
      </c>
      <c r="BG5" s="527" t="s">
        <v>123</v>
      </c>
      <c r="BH5" s="528"/>
      <c r="BI5" s="529"/>
      <c r="BJ5" s="31"/>
      <c r="BK5" s="527" t="s">
        <v>124</v>
      </c>
      <c r="BL5" s="528"/>
      <c r="BM5" s="529"/>
      <c r="BN5" s="31"/>
    </row>
    <row r="6" spans="2:66" ht="15" customHeight="1" x14ac:dyDescent="0.2">
      <c r="B6" s="57" t="s">
        <v>14</v>
      </c>
      <c r="C6" s="37" t="s">
        <v>54</v>
      </c>
      <c r="D6" s="37" t="s">
        <v>90</v>
      </c>
      <c r="F6" s="471" t="s">
        <v>18</v>
      </c>
      <c r="G6" s="471"/>
      <c r="H6" s="14" t="s">
        <v>91</v>
      </c>
      <c r="I6" s="14" t="s">
        <v>90</v>
      </c>
      <c r="J6" s="2"/>
      <c r="K6" s="471" t="s">
        <v>18</v>
      </c>
      <c r="L6" s="471"/>
      <c r="M6" s="14" t="s">
        <v>91</v>
      </c>
      <c r="N6" s="14" t="s">
        <v>90</v>
      </c>
      <c r="O6" s="2"/>
      <c r="P6" s="482"/>
      <c r="Q6" s="482"/>
      <c r="R6" s="482"/>
      <c r="S6" s="482"/>
      <c r="T6" s="2"/>
      <c r="U6" s="540" t="s">
        <v>45</v>
      </c>
      <c r="V6" s="542" t="s">
        <v>46</v>
      </c>
      <c r="W6" s="543"/>
      <c r="X6" s="544"/>
      <c r="Y6" s="540" t="s">
        <v>47</v>
      </c>
      <c r="Z6" s="2"/>
      <c r="AA6" s="483"/>
      <c r="AB6" s="483"/>
      <c r="AC6" s="483"/>
      <c r="AE6" s="193">
        <v>3</v>
      </c>
      <c r="AF6" s="193">
        <v>2</v>
      </c>
      <c r="AG6" s="37">
        <v>1</v>
      </c>
      <c r="AH6" s="37">
        <v>1</v>
      </c>
      <c r="AI6" s="37">
        <f t="shared" ref="AI6:AI9" si="13">$AG$18</f>
        <v>25</v>
      </c>
      <c r="AJ6" s="198" t="s">
        <v>87</v>
      </c>
      <c r="AK6" s="199" t="s">
        <v>60</v>
      </c>
      <c r="AL6" s="199" t="s">
        <v>60</v>
      </c>
      <c r="AM6" s="200">
        <f t="shared" si="0"/>
        <v>1.04</v>
      </c>
      <c r="AN6" s="200">
        <f t="shared" si="8"/>
        <v>1</v>
      </c>
      <c r="AO6" s="97">
        <f>$BL$19</f>
        <v>12.5</v>
      </c>
      <c r="AP6" s="97" t="s">
        <v>89</v>
      </c>
      <c r="AQ6" s="200">
        <f t="shared" si="9"/>
        <v>15.63</v>
      </c>
      <c r="AR6" s="200">
        <f t="shared" si="1"/>
        <v>12.02</v>
      </c>
      <c r="AS6" s="200">
        <f t="shared" ref="AS6:AS8" si="14">IF(AP6="yes",AO6,MAX(AQ6:AR6))</f>
        <v>15.63</v>
      </c>
      <c r="AT6" s="97">
        <f>LOOKUP(MAX(AS6,BB6),1/($H$7:$H$34&lt;=MAX(AS6,BB6))/($I$7:$I$34&gt;=MAX(AS6,BB6)),$F$7:$F$34)</f>
        <v>10</v>
      </c>
      <c r="AU6" s="97">
        <f t="shared" si="3"/>
        <v>10</v>
      </c>
      <c r="AV6" s="96">
        <f t="shared" si="10"/>
        <v>10</v>
      </c>
      <c r="AW6" s="92">
        <f>'Voltage Drop'!AH31</f>
        <v>10</v>
      </c>
      <c r="AX6" s="92">
        <f>'Voltage Drop'!AI31</f>
        <v>10</v>
      </c>
      <c r="AY6" s="92">
        <f t="shared" si="11"/>
        <v>10</v>
      </c>
      <c r="AZ6" s="195">
        <f t="shared" si="12"/>
        <v>8.4400000000000003E-2</v>
      </c>
      <c r="BA6" s="37">
        <f t="shared" si="4"/>
        <v>0.75</v>
      </c>
      <c r="BB6" s="97">
        <f>LOOKUP(AQ6,1/($AB$8:$AB$44&lt;=AQ6)/($AC$8:$AC$44&gt;=AQ6),$AA$8:$AA$44)</f>
        <v>20</v>
      </c>
      <c r="BC6" s="37">
        <f t="shared" si="5"/>
        <v>35</v>
      </c>
      <c r="BD6" s="37">
        <f t="shared" si="6"/>
        <v>36.4</v>
      </c>
      <c r="BE6" s="37">
        <f t="shared" si="7"/>
        <v>30</v>
      </c>
      <c r="BG6" s="33" t="s">
        <v>125</v>
      </c>
      <c r="BH6" s="60" t="str">
        <f>Input!D20</f>
        <v>P320</v>
      </c>
      <c r="BI6" s="93" t="s">
        <v>126</v>
      </c>
      <c r="BJ6" s="32"/>
      <c r="BK6" s="33" t="s">
        <v>127</v>
      </c>
      <c r="BL6" s="60" t="str">
        <f>Input!D14</f>
        <v>SE3000H-US</v>
      </c>
      <c r="BM6" s="93" t="s">
        <v>126</v>
      </c>
      <c r="BN6" s="32"/>
    </row>
    <row r="7" spans="2:66" ht="15" customHeight="1" x14ac:dyDescent="0.2">
      <c r="B7" s="252">
        <v>10</v>
      </c>
      <c r="C7" s="99">
        <v>1</v>
      </c>
      <c r="D7" s="99">
        <v>15</v>
      </c>
      <c r="F7" s="510">
        <v>10</v>
      </c>
      <c r="G7" s="511"/>
      <c r="H7" s="15">
        <v>1</v>
      </c>
      <c r="I7" s="99">
        <v>20</v>
      </c>
      <c r="J7" s="5"/>
      <c r="K7" s="510">
        <v>10</v>
      </c>
      <c r="L7" s="511"/>
      <c r="M7" s="15">
        <v>1</v>
      </c>
      <c r="N7" s="99">
        <v>30</v>
      </c>
      <c r="O7" s="5"/>
      <c r="P7" s="471" t="s">
        <v>22</v>
      </c>
      <c r="Q7" s="471"/>
      <c r="R7" s="57" t="s">
        <v>54</v>
      </c>
      <c r="S7" s="57" t="s">
        <v>90</v>
      </c>
      <c r="T7" s="5"/>
      <c r="U7" s="541"/>
      <c r="V7" s="57" t="s">
        <v>48</v>
      </c>
      <c r="W7" s="57" t="s">
        <v>49</v>
      </c>
      <c r="X7" s="57" t="s">
        <v>50</v>
      </c>
      <c r="Y7" s="541"/>
      <c r="Z7" s="5"/>
      <c r="AA7" s="13" t="s">
        <v>67</v>
      </c>
      <c r="AB7" s="13" t="s">
        <v>54</v>
      </c>
      <c r="AC7" s="57" t="s">
        <v>90</v>
      </c>
      <c r="AE7" s="193">
        <v>4</v>
      </c>
      <c r="AF7" s="193">
        <v>2</v>
      </c>
      <c r="AG7" s="37">
        <v>1</v>
      </c>
      <c r="AH7" s="37">
        <v>1</v>
      </c>
      <c r="AI7" s="37">
        <f t="shared" si="13"/>
        <v>25</v>
      </c>
      <c r="AJ7" s="198" t="s">
        <v>87</v>
      </c>
      <c r="AK7" s="199" t="s">
        <v>60</v>
      </c>
      <c r="AL7" s="199" t="s">
        <v>60</v>
      </c>
      <c r="AM7" s="200">
        <f t="shared" si="0"/>
        <v>1.04</v>
      </c>
      <c r="AN7" s="200">
        <f t="shared" si="8"/>
        <v>1</v>
      </c>
      <c r="AO7" s="97">
        <f>$BL$19</f>
        <v>12.5</v>
      </c>
      <c r="AP7" s="97" t="s">
        <v>89</v>
      </c>
      <c r="AQ7" s="200">
        <f t="shared" si="9"/>
        <v>15.63</v>
      </c>
      <c r="AR7" s="200">
        <f t="shared" si="1"/>
        <v>12.02</v>
      </c>
      <c r="AS7" s="200">
        <f t="shared" si="14"/>
        <v>15.63</v>
      </c>
      <c r="AT7" s="97">
        <f>IF(AND(OR(Output!$Y$17="Regrowth Specific Line Diagram",Output!$Y$17="Line-Side Tap in Meter",Output!$Y$17="Line-Side Tap in MSP"),OR(Output!$Y$22=4,Output!$Y$22="4"),OR(AT14=8,AT14=10)),6,AT14)</f>
        <v>10</v>
      </c>
      <c r="AU7" s="97">
        <f t="shared" si="3"/>
        <v>10</v>
      </c>
      <c r="AV7" s="96">
        <f t="shared" si="10"/>
        <v>10</v>
      </c>
      <c r="AW7" s="92">
        <f>'Voltage Drop'!AH32</f>
        <v>10</v>
      </c>
      <c r="AX7" s="92">
        <f>'Voltage Drop'!AI32</f>
        <v>10</v>
      </c>
      <c r="AY7" s="92">
        <f t="shared" si="11"/>
        <v>10</v>
      </c>
      <c r="AZ7" s="195">
        <f t="shared" si="12"/>
        <v>8.4400000000000003E-2</v>
      </c>
      <c r="BA7" s="37">
        <f t="shared" si="4"/>
        <v>0.75</v>
      </c>
      <c r="BB7" s="97">
        <f t="shared" ref="BB7:BB9" si="15">LOOKUP(AQ7,1/($AB$8:$AB$44&lt;=AQ7)/($AC$8:$AC$44&gt;=AQ7),$AA$8:$AA$44)</f>
        <v>20</v>
      </c>
      <c r="BC7" s="37">
        <f t="shared" si="5"/>
        <v>35</v>
      </c>
      <c r="BD7" s="37">
        <f t="shared" si="6"/>
        <v>36.4</v>
      </c>
      <c r="BE7" s="37">
        <f t="shared" si="7"/>
        <v>30</v>
      </c>
      <c r="BG7" s="453" t="s">
        <v>128</v>
      </c>
      <c r="BH7" s="454"/>
      <c r="BI7" s="455"/>
      <c r="BJ7" s="1"/>
      <c r="BK7" s="453" t="s">
        <v>128</v>
      </c>
      <c r="BL7" s="454"/>
      <c r="BM7" s="455"/>
      <c r="BN7" s="1"/>
    </row>
    <row r="8" spans="2:66" ht="15" customHeight="1" x14ac:dyDescent="0.2">
      <c r="B8" s="253">
        <v>10</v>
      </c>
      <c r="C8" s="91">
        <v>15.000999999999999</v>
      </c>
      <c r="D8" s="91">
        <v>20</v>
      </c>
      <c r="F8" s="516">
        <v>10</v>
      </c>
      <c r="G8" s="517"/>
      <c r="H8" s="16">
        <f>I7+0.001</f>
        <v>20.001000000000001</v>
      </c>
      <c r="I8" s="91">
        <v>25</v>
      </c>
      <c r="J8" s="5"/>
      <c r="K8" s="516">
        <v>10</v>
      </c>
      <c r="L8" s="517"/>
      <c r="M8" s="16">
        <f>N7+0.001</f>
        <v>30.001000000000001</v>
      </c>
      <c r="N8" s="91">
        <v>35</v>
      </c>
      <c r="O8" s="5"/>
      <c r="P8" s="518">
        <v>1</v>
      </c>
      <c r="Q8" s="519"/>
      <c r="R8" s="201">
        <v>1</v>
      </c>
      <c r="S8" s="15">
        <v>3</v>
      </c>
      <c r="T8" s="5"/>
      <c r="U8" s="15">
        <v>10</v>
      </c>
      <c r="V8" s="7">
        <v>1.29</v>
      </c>
      <c r="W8" s="8">
        <v>1.2</v>
      </c>
      <c r="X8" s="7">
        <v>1.1499999999999999</v>
      </c>
      <c r="Y8" s="15">
        <f>(U8*1.8)+32</f>
        <v>50</v>
      </c>
      <c r="Z8" s="5"/>
      <c r="AA8" s="15">
        <v>15</v>
      </c>
      <c r="AB8" s="15">
        <v>1</v>
      </c>
      <c r="AC8" s="99">
        <v>15</v>
      </c>
      <c r="AE8" s="202">
        <v>5</v>
      </c>
      <c r="AF8" s="202">
        <v>2</v>
      </c>
      <c r="AG8" s="15">
        <v>1</v>
      </c>
      <c r="AH8" s="15">
        <v>1</v>
      </c>
      <c r="AI8" s="15">
        <f t="shared" si="13"/>
        <v>25</v>
      </c>
      <c r="AJ8" s="203" t="s">
        <v>87</v>
      </c>
      <c r="AK8" s="204" t="s">
        <v>60</v>
      </c>
      <c r="AL8" s="204" t="s">
        <v>60</v>
      </c>
      <c r="AM8" s="8">
        <f t="shared" si="0"/>
        <v>1.04</v>
      </c>
      <c r="AN8" s="8">
        <f t="shared" si="8"/>
        <v>1</v>
      </c>
      <c r="AO8" s="101">
        <f>$BL$19</f>
        <v>12.5</v>
      </c>
      <c r="AP8" s="101" t="s">
        <v>89</v>
      </c>
      <c r="AQ8" s="8">
        <f t="shared" si="9"/>
        <v>15.63</v>
      </c>
      <c r="AR8" s="8">
        <f t="shared" si="1"/>
        <v>12.02</v>
      </c>
      <c r="AS8" s="8">
        <f t="shared" si="14"/>
        <v>15.63</v>
      </c>
      <c r="AT8" s="97">
        <f>IF(AND(OR(Output!$Y$17="Regrowth Specific Line Diagram",Output!$Y$17="Line-Side Tap in Meter",Output!$Y$17="Line-Side Tap in MSP"),OR(Output!$Y$22=5,Output!$Y$22="5"),OR(AT15=8,AT15=10)),6,AT15)</f>
        <v>10</v>
      </c>
      <c r="AU8" s="101">
        <f t="shared" si="3"/>
        <v>10</v>
      </c>
      <c r="AV8" s="96">
        <f t="shared" si="10"/>
        <v>10</v>
      </c>
      <c r="AW8" s="92">
        <f>'Voltage Drop'!AH33</f>
        <v>10</v>
      </c>
      <c r="AX8" s="92">
        <f>'Voltage Drop'!AI33</f>
        <v>10</v>
      </c>
      <c r="AY8" s="92">
        <f t="shared" si="11"/>
        <v>10</v>
      </c>
      <c r="AZ8" s="195">
        <f t="shared" si="12"/>
        <v>8.4400000000000003E-2</v>
      </c>
      <c r="BA8" s="15">
        <f t="shared" si="4"/>
        <v>0.75</v>
      </c>
      <c r="BB8" s="97">
        <f t="shared" si="15"/>
        <v>20</v>
      </c>
      <c r="BC8" s="37">
        <f t="shared" si="5"/>
        <v>35</v>
      </c>
      <c r="BD8" s="15">
        <f t="shared" si="6"/>
        <v>36.4</v>
      </c>
      <c r="BE8" s="15">
        <f t="shared" si="7"/>
        <v>30</v>
      </c>
      <c r="BG8" s="34" t="s">
        <v>129</v>
      </c>
      <c r="BH8" s="94">
        <f>IF(BH6="P300",300,IF(BH6="P320",320,IF(BH6="P370",370,IF(BH6="P400",400,IF(BH6="P405",405,IF(BH6="P505",505,))))))</f>
        <v>320</v>
      </c>
      <c r="BI8" s="101" t="s">
        <v>130</v>
      </c>
      <c r="BJ8" s="1"/>
      <c r="BK8" s="34" t="s">
        <v>131</v>
      </c>
      <c r="BL8" s="94">
        <f>IF(BL6="SE3000H-US",4650,IF(BL6="SE3800H-US",5900,IF(BL6="SE5000H-US",7750,IF(BL6="SE6000H-US",9300,IF(BL6="SE7600H-US",11800,IF(BL6="SE3000A-US",4050,IF(BL6="SE3800A-US",5100,IF(BL6="SE5000A-US",6750,IF(BL6="SE6000A-US",8100,IF(BL6="SE7600A-US",10250,IF(BL6="SE10000A-US",13500,IF(BL6="SE11400A-US",15350,IF(BL6="SE10000H-US",15500,IF(BL6="SE11400H-US","17650",))))))))))))))</f>
        <v>4650</v>
      </c>
      <c r="BM8" s="101" t="s">
        <v>130</v>
      </c>
      <c r="BN8" s="1"/>
    </row>
    <row r="9" spans="2:66" ht="15" customHeight="1" x14ac:dyDescent="0.2">
      <c r="B9" s="16">
        <v>10</v>
      </c>
      <c r="C9" s="91">
        <v>20.001000000000001</v>
      </c>
      <c r="D9" s="91">
        <v>60</v>
      </c>
      <c r="F9" s="462">
        <v>10</v>
      </c>
      <c r="G9" s="451"/>
      <c r="H9" s="16">
        <f t="shared" ref="H9:H34" si="16">I8+0.001</f>
        <v>25.001000000000001</v>
      </c>
      <c r="I9" s="91">
        <v>35</v>
      </c>
      <c r="J9" s="5"/>
      <c r="K9" s="462">
        <v>10</v>
      </c>
      <c r="L9" s="451"/>
      <c r="M9" s="16">
        <f t="shared" ref="M9:M34" si="17">N8+0.001</f>
        <v>35.000999999999998</v>
      </c>
      <c r="N9" s="91">
        <v>50</v>
      </c>
      <c r="O9" s="5"/>
      <c r="P9" s="499">
        <v>0.8</v>
      </c>
      <c r="Q9" s="500"/>
      <c r="R9" s="5">
        <v>4</v>
      </c>
      <c r="S9" s="16">
        <v>6</v>
      </c>
      <c r="T9" s="5"/>
      <c r="U9" s="16">
        <f>U8+1</f>
        <v>11</v>
      </c>
      <c r="V9" s="9">
        <v>1.22</v>
      </c>
      <c r="W9" s="10">
        <v>1.1499999999999999</v>
      </c>
      <c r="X9" s="9">
        <v>1.1200000000000001</v>
      </c>
      <c r="Y9" s="16">
        <f t="shared" ref="Y9:Y72" si="18">(U9*1.8)+32</f>
        <v>51.8</v>
      </c>
      <c r="Z9" s="5"/>
      <c r="AA9" s="16">
        <v>20</v>
      </c>
      <c r="AB9" s="16">
        <f>AC8+0.001</f>
        <v>15.000999999999999</v>
      </c>
      <c r="AC9" s="91">
        <f>AA9</f>
        <v>20</v>
      </c>
      <c r="AE9" s="193">
        <v>6</v>
      </c>
      <c r="AF9" s="193">
        <v>2</v>
      </c>
      <c r="AG9" s="37">
        <v>1</v>
      </c>
      <c r="AH9" s="37">
        <v>1</v>
      </c>
      <c r="AI9" s="37">
        <f t="shared" si="13"/>
        <v>25</v>
      </c>
      <c r="AJ9" s="198" t="s">
        <v>87</v>
      </c>
      <c r="AK9" s="199" t="s">
        <v>60</v>
      </c>
      <c r="AL9" s="199" t="s">
        <v>60</v>
      </c>
      <c r="AM9" s="200">
        <f t="shared" si="0"/>
        <v>1.04</v>
      </c>
      <c r="AN9" s="200">
        <f t="shared" ref="AN9" si="19">IF(AJ9="Free Air",1,LOOKUP(AF9,1/($R$8:$R$14&lt;=AF9)/($S$8:$S$14&gt;=AF9),$P$8:$P$14))</f>
        <v>1</v>
      </c>
      <c r="AO9" s="97">
        <f>$BL$19</f>
        <v>12.5</v>
      </c>
      <c r="AP9" s="97" t="s">
        <v>89</v>
      </c>
      <c r="AQ9" s="200">
        <f t="shared" ref="AQ9" si="20">ROUND(AO9*1.25,2)</f>
        <v>15.63</v>
      </c>
      <c r="AR9" s="200">
        <f t="shared" ref="AR9" si="21">ROUND(AO9/(AM9*AN9),2)</f>
        <v>12.02</v>
      </c>
      <c r="AS9" s="200">
        <f t="shared" ref="AS9" si="22">IF(AP9="yes",AO9,MAX(AQ9:AR9))</f>
        <v>15.63</v>
      </c>
      <c r="AT9" s="97">
        <f t="shared" ref="AT9" si="23">LOOKUP(MAX(AS9,BB9),1/($H$7:$H$34&lt;=MAX(AS9,BB9))/($I$7:$I$34&gt;=MAX(AS9,BB9)),$F$7:$F$34)</f>
        <v>10</v>
      </c>
      <c r="AU9" s="97">
        <f t="shared" si="3"/>
        <v>10</v>
      </c>
      <c r="AV9" s="96">
        <f t="shared" si="10"/>
        <v>10</v>
      </c>
      <c r="AW9" s="92">
        <f t="shared" ref="AW9" si="24">LOOKUP(AS9,1/($H$7:$H$34&lt;=AS9)/($I$7:$I$34&gt;=AS9),$F$7:$F$34)</f>
        <v>10</v>
      </c>
      <c r="AX9" s="92">
        <f t="shared" ref="AX9" si="25">AW9</f>
        <v>10</v>
      </c>
      <c r="AY9" s="92">
        <f t="shared" si="11"/>
        <v>10</v>
      </c>
      <c r="AZ9" s="195">
        <f t="shared" ref="AZ9" si="26">(AF9*(VLOOKUP(AW9,$P$27:$S$50,3,FALSE)))+(AG9*(VLOOKUP(AX9,$P$27:$S$50,3,FALSE)))+(AH9*(VLOOKUP(AY9,$P$27:$S$50,3,FALSE)))</f>
        <v>8.4400000000000003E-2</v>
      </c>
      <c r="BA9" s="37">
        <f t="shared" ref="BA9" si="27">IF(AZ9&lt;$S$57,$P$57,IF(AND(AZ9&gt;$S$57,AZ9&lt;$S$58),$P$58,IF(AND(AZ9&gt;$S$58,AZ9&lt;$S$59),$P$59,IF(AND(AZ9&gt;$S$59,AZ9&lt;$S$60),$P$60,IF(AND(AZ9&gt;$S$60,AZ9&lt;$S$61),$P$61,IF(AND(AZ9&gt;$S$61,AZ9&lt;$S$62),$P$62,IF(AND(AZ9&gt;$S$62,AZ9&lt;$S$63),$P$63,IF(AND(AZ9&gt;$S$63,AZ9&lt;$S$64),$P$64,IF(AND(AZ9&gt;$S$64,AZ9&lt;$S$65),$P$65,IF(AND(AZ9&gt;$S$65,AZ9&lt;$S$66),$P$66,"Error"))))))))))</f>
        <v>0.75</v>
      </c>
      <c r="BB9" s="97">
        <f t="shared" si="15"/>
        <v>20</v>
      </c>
      <c r="BC9" s="37">
        <f t="shared" si="5"/>
        <v>35</v>
      </c>
      <c r="BD9" s="37">
        <f t="shared" ref="BD9" si="28">ROUND(BC9*(AM9*AN9),2)</f>
        <v>36.4</v>
      </c>
      <c r="BE9" s="37">
        <f t="shared" si="7"/>
        <v>30</v>
      </c>
      <c r="BG9" s="456" t="s">
        <v>132</v>
      </c>
      <c r="BH9" s="457">
        <f>IF(BH6="P300",48,IF(BH6="P320",48,IF(BH6="P370",60,IF(BH6="P400",80,IF(BH6="P405",125,IF(BH6="P505",83,))))))</f>
        <v>48</v>
      </c>
      <c r="BI9" s="457" t="s">
        <v>133</v>
      </c>
      <c r="BJ9" s="1"/>
      <c r="BK9" s="35" t="s">
        <v>134</v>
      </c>
      <c r="BL9" s="94">
        <f>IF(BL6="SE3000H-US",480,IF(BL6="SE3800H-US",480,IF(BL6="SE5000H-US",480,IF(BL6="SE6000H-US",480,IF(BL6="SE7600H-US",480,IF(BL6="SE3000A-US",500,IF(BL6="SE3800A-US",500,IF(BL6="SE5000A-US",500,IF(BL6="SE6000A-US",500,IF(BL6="SE7600A-US",500,IF(BL6="SE10000A-US",500,IF(BL6="SE11400A-US",500,IF(BL6="SE10000H-US",480,IF(BL6="SE11400H-US","480",))))))))))))))</f>
        <v>480</v>
      </c>
      <c r="BM9" s="36" t="s">
        <v>133</v>
      </c>
      <c r="BN9" s="1"/>
    </row>
    <row r="10" spans="2:66" ht="15" customHeight="1" x14ac:dyDescent="0.2">
      <c r="B10" s="16">
        <v>8</v>
      </c>
      <c r="C10" s="91">
        <v>60.000999999999998</v>
      </c>
      <c r="D10" s="91">
        <v>100</v>
      </c>
      <c r="F10" s="462">
        <v>8</v>
      </c>
      <c r="G10" s="451"/>
      <c r="H10" s="16">
        <f t="shared" si="16"/>
        <v>35.000999999999998</v>
      </c>
      <c r="I10" s="91">
        <v>50</v>
      </c>
      <c r="J10" s="5"/>
      <c r="K10" s="462">
        <v>8</v>
      </c>
      <c r="L10" s="451"/>
      <c r="M10" s="16">
        <f t="shared" si="17"/>
        <v>50.000999999999998</v>
      </c>
      <c r="N10" s="91">
        <v>70</v>
      </c>
      <c r="O10" s="5"/>
      <c r="P10" s="499">
        <v>0.7</v>
      </c>
      <c r="Q10" s="500"/>
      <c r="R10" s="5">
        <v>7</v>
      </c>
      <c r="S10" s="16">
        <v>9</v>
      </c>
      <c r="T10" s="5"/>
      <c r="U10" s="16">
        <f t="shared" ref="U10:U73" si="29">U9+1</f>
        <v>12</v>
      </c>
      <c r="V10" s="9">
        <v>1.22</v>
      </c>
      <c r="W10" s="10">
        <v>1.1499999999999999</v>
      </c>
      <c r="X10" s="9">
        <v>1.1200000000000001</v>
      </c>
      <c r="Y10" s="16">
        <f t="shared" si="18"/>
        <v>53.6</v>
      </c>
      <c r="Z10" s="5"/>
      <c r="AA10" s="16">
        <v>25</v>
      </c>
      <c r="AB10" s="16">
        <f t="shared" ref="AB10:AB44" si="30">AC9+0.001</f>
        <v>20.001000000000001</v>
      </c>
      <c r="AC10" s="91">
        <f t="shared" ref="AC10:AC44" si="31">AA10</f>
        <v>25</v>
      </c>
      <c r="BG10" s="456"/>
      <c r="BH10" s="457"/>
      <c r="BI10" s="457"/>
      <c r="BJ10" s="1"/>
      <c r="BK10" s="38" t="s">
        <v>136</v>
      </c>
      <c r="BL10" s="39">
        <f>IF(BL6="SE3000H-US",380,IF(BL6="SE3800H-US",380,IF(BL6="SE5000H-US",380,IF(BL6="SE6000H-US",380,IF(BL6="SE7600H-US",400,IF(BL6="SE3000A-US",350,IF(BL6="SE3800A-US",350,IF(BL6="SE5000A-US",350,IF(BL6="SE6000A-US",350,IF(BL6="SE7600A-US",350,IF(BL6="SE10000A-US",350,IF(BL6="SE11400A-US",350,IF(BL6="SE10000H-US",400,IF(BL6="SE11400H-US","400",))))))))))))))</f>
        <v>380</v>
      </c>
      <c r="BM10" s="90" t="s">
        <v>133</v>
      </c>
      <c r="BN10" s="1"/>
    </row>
    <row r="11" spans="2:66" ht="15" customHeight="1" x14ac:dyDescent="0.2">
      <c r="B11" s="16">
        <v>6</v>
      </c>
      <c r="C11" s="91">
        <v>100.001</v>
      </c>
      <c r="D11" s="91">
        <v>200</v>
      </c>
      <c r="F11" s="462">
        <v>6</v>
      </c>
      <c r="G11" s="451"/>
      <c r="H11" s="16">
        <f t="shared" si="16"/>
        <v>50.000999999999998</v>
      </c>
      <c r="I11" s="91">
        <v>65</v>
      </c>
      <c r="J11" s="5"/>
      <c r="K11" s="462">
        <v>6</v>
      </c>
      <c r="L11" s="451"/>
      <c r="M11" s="16">
        <f t="shared" si="17"/>
        <v>70.001000000000005</v>
      </c>
      <c r="N11" s="91">
        <v>95</v>
      </c>
      <c r="O11" s="5"/>
      <c r="P11" s="499">
        <v>0.5</v>
      </c>
      <c r="Q11" s="500"/>
      <c r="R11" s="5">
        <v>10</v>
      </c>
      <c r="S11" s="16">
        <v>20</v>
      </c>
      <c r="T11" s="5"/>
      <c r="U11" s="16">
        <f t="shared" si="29"/>
        <v>13</v>
      </c>
      <c r="V11" s="9">
        <v>1.22</v>
      </c>
      <c r="W11" s="10">
        <v>1.1499999999999999</v>
      </c>
      <c r="X11" s="9">
        <v>1.1200000000000001</v>
      </c>
      <c r="Y11" s="16">
        <f t="shared" si="18"/>
        <v>55.400000000000006</v>
      </c>
      <c r="Z11" s="5"/>
      <c r="AA11" s="16">
        <v>30</v>
      </c>
      <c r="AB11" s="16">
        <f t="shared" si="30"/>
        <v>25.001000000000001</v>
      </c>
      <c r="AC11" s="91">
        <f t="shared" si="31"/>
        <v>30</v>
      </c>
      <c r="AE11" s="446" t="s">
        <v>271</v>
      </c>
      <c r="AF11" s="446"/>
      <c r="AG11" s="446"/>
      <c r="BG11" s="35" t="s">
        <v>139</v>
      </c>
      <c r="BH11" s="94" t="str">
        <f>IF(BH6="P300","8 - 48",IF(BH6="P320","8 - 48",IF(BH6="P370","8 - 60",IF(BH6="P400","8 - 80",IF(BH6="P405","12.5 - 105",IF(BH6="P505","12.5 - 83",))))))</f>
        <v>8 - 48</v>
      </c>
      <c r="BI11" s="36" t="s">
        <v>133</v>
      </c>
      <c r="BJ11" s="1"/>
      <c r="BK11" s="35" t="s">
        <v>140</v>
      </c>
      <c r="BL11" s="94">
        <f>IF(BL6="SE3000H-US",8.5,IF(BL6="SE3800H-US",10.5,IF(BL6="SE5000H-US",13.5,IF(BL6="SE6000H-US",16.5,IF(BL6="SE7600H-US",20,IF(BL6="SE3000A-US",9.5,IF(BL6="SE3800A-US",13,IF(BL6="SE5000A-US",15.5,IF(BL6="SE6000A-US",18,IF(BL6="SE7600A-US",23,IF(BL6="SE10000A-US",30.5,IF(BL6="SE11400A-US",34.5,IF(BL6="SE10000H-US",27,IF(BL6="SE11400H-US","30.5",))))))))))))))</f>
        <v>8.5</v>
      </c>
      <c r="BM11" s="36" t="s">
        <v>141</v>
      </c>
      <c r="BN11" s="1"/>
    </row>
    <row r="12" spans="2:66" ht="15" customHeight="1" x14ac:dyDescent="0.2">
      <c r="B12" s="16">
        <v>4</v>
      </c>
      <c r="C12" s="91">
        <v>200.001</v>
      </c>
      <c r="D12" s="91">
        <v>300</v>
      </c>
      <c r="F12" s="462">
        <v>4</v>
      </c>
      <c r="G12" s="451"/>
      <c r="H12" s="16">
        <f t="shared" si="16"/>
        <v>65.001000000000005</v>
      </c>
      <c r="I12" s="91">
        <v>85</v>
      </c>
      <c r="J12" s="5"/>
      <c r="K12" s="462">
        <v>4</v>
      </c>
      <c r="L12" s="451"/>
      <c r="M12" s="16">
        <f t="shared" si="17"/>
        <v>95.001000000000005</v>
      </c>
      <c r="N12" s="91">
        <v>125</v>
      </c>
      <c r="O12" s="5"/>
      <c r="P12" s="499">
        <v>0.45</v>
      </c>
      <c r="Q12" s="500"/>
      <c r="R12" s="5">
        <v>21</v>
      </c>
      <c r="S12" s="16">
        <v>30</v>
      </c>
      <c r="T12" s="5"/>
      <c r="U12" s="16">
        <f t="shared" si="29"/>
        <v>14</v>
      </c>
      <c r="V12" s="9">
        <v>1.22</v>
      </c>
      <c r="W12" s="10">
        <v>1.1499999999999999</v>
      </c>
      <c r="X12" s="9">
        <v>1.1200000000000001</v>
      </c>
      <c r="Y12" s="16">
        <f t="shared" si="18"/>
        <v>57.2</v>
      </c>
      <c r="Z12" s="5"/>
      <c r="AA12" s="253">
        <v>40</v>
      </c>
      <c r="AB12" s="16">
        <f t="shared" si="30"/>
        <v>30.001000000000001</v>
      </c>
      <c r="AC12" s="91">
        <f t="shared" si="31"/>
        <v>40</v>
      </c>
      <c r="AE12" s="397">
        <f>Input!D21</f>
        <v>1</v>
      </c>
      <c r="AF12" s="397"/>
      <c r="AG12" s="397"/>
      <c r="BG12" s="35" t="s">
        <v>144</v>
      </c>
      <c r="BH12" s="94">
        <f>IF(BH6="P300",11,IF(BH6="P320",11,IF(BH6="P370",11,IF(BH6="P400",10.1,IF(BH6="P405",10.1,IF(BH6="P505",14,))))))</f>
        <v>11</v>
      </c>
      <c r="BI12" s="36" t="s">
        <v>141</v>
      </c>
      <c r="BJ12" s="1"/>
      <c r="BK12" s="35" t="s">
        <v>145</v>
      </c>
      <c r="BL12" s="94">
        <v>45</v>
      </c>
      <c r="BM12" s="36" t="s">
        <v>141</v>
      </c>
      <c r="BN12" s="1"/>
    </row>
    <row r="13" spans="2:66" ht="15" customHeight="1" x14ac:dyDescent="0.2">
      <c r="B13" s="16">
        <v>3</v>
      </c>
      <c r="C13" s="91">
        <v>300.00099999999998</v>
      </c>
      <c r="D13" s="91">
        <v>400</v>
      </c>
      <c r="F13" s="462">
        <v>3</v>
      </c>
      <c r="G13" s="451"/>
      <c r="H13" s="16">
        <f t="shared" si="16"/>
        <v>85.001000000000005</v>
      </c>
      <c r="I13" s="91">
        <v>100</v>
      </c>
      <c r="J13" s="5"/>
      <c r="K13" s="462">
        <v>3</v>
      </c>
      <c r="L13" s="451"/>
      <c r="M13" s="16">
        <f t="shared" si="17"/>
        <v>125.001</v>
      </c>
      <c r="N13" s="91">
        <v>145</v>
      </c>
      <c r="O13" s="5"/>
      <c r="P13" s="499">
        <v>0.4</v>
      </c>
      <c r="Q13" s="500"/>
      <c r="R13" s="5">
        <v>31</v>
      </c>
      <c r="S13" s="16">
        <v>40</v>
      </c>
      <c r="T13" s="5"/>
      <c r="U13" s="16">
        <f t="shared" si="29"/>
        <v>15</v>
      </c>
      <c r="V13" s="9">
        <v>1.22</v>
      </c>
      <c r="W13" s="10">
        <v>1.1499999999999999</v>
      </c>
      <c r="X13" s="9">
        <v>1.1200000000000001</v>
      </c>
      <c r="Y13" s="16">
        <f t="shared" si="18"/>
        <v>59</v>
      </c>
      <c r="Z13" s="5"/>
      <c r="AA13" s="16">
        <v>40</v>
      </c>
      <c r="AB13" s="16">
        <f t="shared" si="30"/>
        <v>40.000999999999998</v>
      </c>
      <c r="AC13" s="91">
        <f t="shared" si="31"/>
        <v>40</v>
      </c>
      <c r="BG13" s="35" t="s">
        <v>148</v>
      </c>
      <c r="BH13" s="94">
        <f>IF(BH6="P300",13.75,IF(BH6="P320",13.75,IF(BH6="P370",13.75,IF(BH6="P400",12.63,IF(BH6="P405",12.63,IF(BH6="P505",17.5,))))))</f>
        <v>13.75</v>
      </c>
      <c r="BI13" s="36" t="s">
        <v>141</v>
      </c>
      <c r="BJ13" s="1"/>
      <c r="BK13" s="35" t="s">
        <v>149</v>
      </c>
      <c r="BL13" s="94">
        <f>IF(BL6="SE3000H-US",99,IF(BL6="SE3800H-US",99.2,IF(BL6="SE5000H-US",99.2,IF(BL6="SE6000H-US",99.2,IF(BL6="SE7600H-US",99.2,IF(BL6="SE3000A-US",97.7,IF(BL6="SE3800A-US",98.2,IF(BL6="SE5000A-US",98.3,IF(BL6="SE6000A-US",98.3,IF(BL6="SE7600A-US",98,IF(BL6="SE10000A-US",98,IF(BL6="SE11400A-US",98,IF(BL6="SE10000H-US",99.2,IF(BL6="SE11400H-US","99.2",))))))))))))))</f>
        <v>99</v>
      </c>
      <c r="BM13" s="36" t="s">
        <v>150</v>
      </c>
      <c r="BN13" s="1"/>
    </row>
    <row r="14" spans="2:66" ht="15" customHeight="1" x14ac:dyDescent="0.2">
      <c r="B14" s="16">
        <v>2</v>
      </c>
      <c r="C14" s="91">
        <v>400.00099999999998</v>
      </c>
      <c r="D14" s="91">
        <v>500</v>
      </c>
      <c r="F14" s="462">
        <v>2</v>
      </c>
      <c r="G14" s="451"/>
      <c r="H14" s="16">
        <f t="shared" si="16"/>
        <v>100.001</v>
      </c>
      <c r="I14" s="91">
        <v>115</v>
      </c>
      <c r="J14" s="5"/>
      <c r="K14" s="462">
        <v>2</v>
      </c>
      <c r="L14" s="451"/>
      <c r="M14" s="16">
        <f t="shared" si="17"/>
        <v>145.001</v>
      </c>
      <c r="N14" s="91">
        <v>170</v>
      </c>
      <c r="O14" s="5"/>
      <c r="P14" s="507">
        <v>0.35</v>
      </c>
      <c r="Q14" s="508"/>
      <c r="R14" s="63">
        <v>41</v>
      </c>
      <c r="S14" s="92">
        <v>100</v>
      </c>
      <c r="T14" s="5"/>
      <c r="U14" s="16">
        <f t="shared" si="29"/>
        <v>16</v>
      </c>
      <c r="V14" s="9">
        <v>1.1499999999999999</v>
      </c>
      <c r="W14" s="10">
        <v>1.1100000000000001</v>
      </c>
      <c r="X14" s="9">
        <v>1.08</v>
      </c>
      <c r="Y14" s="16">
        <f t="shared" si="18"/>
        <v>60.8</v>
      </c>
      <c r="Z14" s="5"/>
      <c r="AA14" s="16">
        <v>45</v>
      </c>
      <c r="AB14" s="16">
        <f t="shared" si="30"/>
        <v>40.000999999999998</v>
      </c>
      <c r="AC14" s="91">
        <f t="shared" si="31"/>
        <v>45</v>
      </c>
      <c r="AE14" s="446" t="s">
        <v>281</v>
      </c>
      <c r="AF14" s="446"/>
      <c r="AG14" s="446"/>
      <c r="AQ14" s="523" t="s">
        <v>781</v>
      </c>
      <c r="AR14" s="524"/>
      <c r="AS14" s="329" t="s">
        <v>782</v>
      </c>
      <c r="AT14" s="342">
        <f>LOOKUP(MAX(AS7,BB7),1/($H$7:$H$34&lt;=MAX(AS7,BB7))/($I$7:$I$34&gt;=MAX(AS7,BB7)),$F$7:$F$34)</f>
        <v>10</v>
      </c>
      <c r="BG14" s="35" t="s">
        <v>152</v>
      </c>
      <c r="BH14" s="94">
        <v>99.5</v>
      </c>
      <c r="BI14" s="36" t="s">
        <v>150</v>
      </c>
      <c r="BJ14" s="1"/>
      <c r="BK14" s="35" t="s">
        <v>153</v>
      </c>
      <c r="BL14" s="94">
        <f>IF(BL6="SE3000H-US",99,IF(BL6="SE3800H-US",99,IF(BL6="SE5000H-US",99,IF(BL6="SE6000H-US",99,IF(BL6="SE7600H-US",99,IF(BL6="SE3000A-US",97.5,IF(BL6="SE3800A-US",98,IF(BL6="SE5000A-US",98,IF(BL6="SE6000A-US",97.5,IF(BL6="SE7600A-US",97.5,IF(BL6="SE10000A-US",97.5,IF(BL6="SE11400A-US",97.5,IF(BL6="SE10000H-US",99,IF(BL6="SE11400H-US","99",))))))))))))))</f>
        <v>99</v>
      </c>
      <c r="BM14" s="36" t="s">
        <v>150</v>
      </c>
      <c r="BN14" s="1"/>
    </row>
    <row r="15" spans="2:66" ht="15" customHeight="1" x14ac:dyDescent="0.2">
      <c r="B15" s="16">
        <v>1</v>
      </c>
      <c r="C15" s="91">
        <v>500.00099999999998</v>
      </c>
      <c r="D15" s="91">
        <v>600</v>
      </c>
      <c r="F15" s="462">
        <v>1</v>
      </c>
      <c r="G15" s="451"/>
      <c r="H15" s="16">
        <f t="shared" si="16"/>
        <v>115.001</v>
      </c>
      <c r="I15" s="91">
        <v>130</v>
      </c>
      <c r="J15" s="95"/>
      <c r="K15" s="462">
        <v>1</v>
      </c>
      <c r="L15" s="451"/>
      <c r="M15" s="16">
        <f t="shared" si="17"/>
        <v>170.001</v>
      </c>
      <c r="N15" s="91">
        <v>195</v>
      </c>
      <c r="O15" s="5"/>
      <c r="P15" s="20"/>
      <c r="Q15" s="20"/>
      <c r="T15" s="5"/>
      <c r="U15" s="16">
        <f t="shared" si="29"/>
        <v>17</v>
      </c>
      <c r="V15" s="9">
        <v>1.1499999999999999</v>
      </c>
      <c r="W15" s="10">
        <v>1.1100000000000001</v>
      </c>
      <c r="X15" s="9">
        <v>1.08</v>
      </c>
      <c r="Y15" s="16">
        <f t="shared" si="18"/>
        <v>62.6</v>
      </c>
      <c r="Z15" s="5"/>
      <c r="AA15" s="16">
        <v>50</v>
      </c>
      <c r="AB15" s="16">
        <f t="shared" si="30"/>
        <v>45.000999999999998</v>
      </c>
      <c r="AC15" s="91">
        <f t="shared" si="31"/>
        <v>50</v>
      </c>
      <c r="AE15" s="397">
        <f>Input!D15</f>
        <v>1</v>
      </c>
      <c r="AF15" s="397"/>
      <c r="AG15" s="397"/>
      <c r="AQ15" s="525"/>
      <c r="AR15" s="526"/>
      <c r="AS15" s="341" t="s">
        <v>783</v>
      </c>
      <c r="AT15" s="340">
        <f>LOOKUP(MAX(AS8,BB8),1/($H$7:$H$34&lt;=MAX(AS8,BB8))/($I$7:$I$34&gt;=MAX(AS8,BB8)),$F$7:$F$34)</f>
        <v>10</v>
      </c>
      <c r="BG15" s="35" t="s">
        <v>156</v>
      </c>
      <c r="BH15" s="94">
        <f>IF(BH6="P505",98.6,98.8)</f>
        <v>98.8</v>
      </c>
      <c r="BI15" s="36" t="s">
        <v>150</v>
      </c>
      <c r="BJ15" s="1"/>
      <c r="BK15" s="520" t="s">
        <v>157</v>
      </c>
      <c r="BL15" s="521"/>
      <c r="BM15" s="522"/>
      <c r="BN15" s="1"/>
    </row>
    <row r="16" spans="2:66" ht="15" customHeight="1" x14ac:dyDescent="0.2">
      <c r="B16" s="21" t="s">
        <v>19</v>
      </c>
      <c r="C16" s="91">
        <v>600.00099999999998</v>
      </c>
      <c r="D16" s="91">
        <v>800</v>
      </c>
      <c r="F16" s="498" t="s">
        <v>19</v>
      </c>
      <c r="G16" s="451"/>
      <c r="H16" s="16">
        <f t="shared" si="16"/>
        <v>130.001</v>
      </c>
      <c r="I16" s="91">
        <v>150</v>
      </c>
      <c r="J16" s="95"/>
      <c r="K16" s="498" t="s">
        <v>19</v>
      </c>
      <c r="L16" s="451"/>
      <c r="M16" s="16">
        <f t="shared" si="17"/>
        <v>195.001</v>
      </c>
      <c r="N16" s="91">
        <v>230</v>
      </c>
      <c r="O16" s="5"/>
      <c r="P16" s="501" t="s">
        <v>23</v>
      </c>
      <c r="Q16" s="502"/>
      <c r="R16" s="502"/>
      <c r="S16" s="503"/>
      <c r="T16" s="5"/>
      <c r="U16" s="16">
        <f t="shared" si="29"/>
        <v>18</v>
      </c>
      <c r="V16" s="9">
        <v>1.1499999999999999</v>
      </c>
      <c r="W16" s="10">
        <v>1.1100000000000001</v>
      </c>
      <c r="X16" s="9">
        <v>1.08</v>
      </c>
      <c r="Y16" s="16">
        <f t="shared" si="18"/>
        <v>64.400000000000006</v>
      </c>
      <c r="Z16" s="5"/>
      <c r="AA16" s="16">
        <v>60</v>
      </c>
      <c r="AB16" s="16">
        <f t="shared" si="30"/>
        <v>50.000999999999998</v>
      </c>
      <c r="AC16" s="91">
        <f t="shared" si="31"/>
        <v>60</v>
      </c>
      <c r="BG16" s="40" t="s">
        <v>158</v>
      </c>
      <c r="BH16" s="94" t="s">
        <v>159</v>
      </c>
      <c r="BI16" s="29" t="s">
        <v>51</v>
      </c>
      <c r="BK16" s="41" t="s">
        <v>160</v>
      </c>
      <c r="BL16" s="101">
        <f>IF(BL6="SE3000H-US",3000,IF(BL6="SE3800H-US",3800,IF(BL6="SE5000H-US",5000,IF(BL6="SE6000H-US",6000,IF(BL6="SE7600H-US",7600,IF(BL6="SE3000A-US",3000,IF(BL6="SE3800A-US",3800,IF(BL6="SE5000A-US",5000,IF(BL6="SE6000A-US",6000,IF(BL6="SE7600A-US",7600,IF(BL6="SE10000A-US",10000,IF(BL6="SE11400A-US",11400,IF(BL6="SE10000H-US",10000,IF(BL6="SE11400H-US",11400,))))))))))))))</f>
        <v>3000</v>
      </c>
      <c r="BM16" s="102" t="s">
        <v>161</v>
      </c>
    </row>
    <row r="17" spans="2:66" ht="15" customHeight="1" x14ac:dyDescent="0.2">
      <c r="B17" s="21" t="s">
        <v>29</v>
      </c>
      <c r="C17" s="91">
        <v>800.00099999999998</v>
      </c>
      <c r="D17" s="91">
        <v>1000</v>
      </c>
      <c r="F17" s="498" t="s">
        <v>29</v>
      </c>
      <c r="G17" s="451"/>
      <c r="H17" s="16">
        <f t="shared" si="16"/>
        <v>150.001</v>
      </c>
      <c r="I17" s="91">
        <v>175</v>
      </c>
      <c r="J17" s="95"/>
      <c r="K17" s="498" t="s">
        <v>29</v>
      </c>
      <c r="L17" s="451"/>
      <c r="M17" s="16">
        <f t="shared" si="17"/>
        <v>230.001</v>
      </c>
      <c r="N17" s="91">
        <v>265</v>
      </c>
      <c r="O17" s="5"/>
      <c r="P17" s="504"/>
      <c r="Q17" s="505"/>
      <c r="R17" s="505"/>
      <c r="S17" s="506"/>
      <c r="T17" s="5"/>
      <c r="U17" s="16">
        <f t="shared" si="29"/>
        <v>19</v>
      </c>
      <c r="V17" s="9">
        <v>1.1499999999999999</v>
      </c>
      <c r="W17" s="10">
        <v>1.1100000000000001</v>
      </c>
      <c r="X17" s="9">
        <v>1.08</v>
      </c>
      <c r="Y17" s="16">
        <f t="shared" si="18"/>
        <v>66.2</v>
      </c>
      <c r="Z17" s="5"/>
      <c r="AA17" s="16">
        <v>70</v>
      </c>
      <c r="AB17" s="16">
        <f t="shared" si="30"/>
        <v>60.000999999999998</v>
      </c>
      <c r="AC17" s="91">
        <f t="shared" si="31"/>
        <v>70</v>
      </c>
      <c r="AE17" s="446" t="s">
        <v>80</v>
      </c>
      <c r="AF17" s="446"/>
      <c r="AG17" s="446"/>
      <c r="AH17" s="32"/>
      <c r="BG17" s="453" t="s">
        <v>163</v>
      </c>
      <c r="BH17" s="454"/>
      <c r="BI17" s="455"/>
      <c r="BK17" s="42" t="s">
        <v>164</v>
      </c>
      <c r="BL17" s="36">
        <f>IF(BL6="SE3000H-US",3000,IF(BL6="SE3800H-US",3800,IF(BL6="SE5000H-US",5000,IF(BL6="SE6000H-US",6000,IF(BL6="SE7600H-US",7600,IF(BL6="SE3000A-US",3300,IF(BL6="SE3800A-US",4150,IF(BL6="SE5000A-US",5450,IF(BL6="SE6000A-US",6000,IF(BL6="SE7600A-US",8350,IF(BL6="SE10000A-US",10950,IF(BL6="SE11400A-US",12000,IF(BL6="SE10000H-US",10000,IF(BL6="SE11400H-US",11400,))))))))))))))</f>
        <v>3000</v>
      </c>
      <c r="BM17" s="105" t="s">
        <v>161</v>
      </c>
    </row>
    <row r="18" spans="2:66" ht="15" customHeight="1" x14ac:dyDescent="0.2">
      <c r="B18" s="21" t="s">
        <v>28</v>
      </c>
      <c r="C18" s="91">
        <v>1000.001</v>
      </c>
      <c r="D18" s="91">
        <v>1200</v>
      </c>
      <c r="F18" s="498" t="s">
        <v>28</v>
      </c>
      <c r="G18" s="451"/>
      <c r="H18" s="16">
        <f t="shared" si="16"/>
        <v>175.001</v>
      </c>
      <c r="I18" s="91">
        <v>200</v>
      </c>
      <c r="J18" s="5"/>
      <c r="K18" s="498" t="s">
        <v>28</v>
      </c>
      <c r="L18" s="451"/>
      <c r="M18" s="16">
        <f t="shared" si="17"/>
        <v>265.00099999999998</v>
      </c>
      <c r="N18" s="91">
        <v>310</v>
      </c>
      <c r="O18" s="5"/>
      <c r="T18" s="5"/>
      <c r="U18" s="16">
        <f t="shared" si="29"/>
        <v>20</v>
      </c>
      <c r="V18" s="9">
        <v>1.1499999999999999</v>
      </c>
      <c r="W18" s="10">
        <v>1.1100000000000001</v>
      </c>
      <c r="X18" s="9">
        <v>1.08</v>
      </c>
      <c r="Y18" s="16">
        <f t="shared" si="18"/>
        <v>68</v>
      </c>
      <c r="Z18" s="5"/>
      <c r="AA18" s="16">
        <v>80</v>
      </c>
      <c r="AB18" s="16">
        <f t="shared" si="30"/>
        <v>70.001000000000005</v>
      </c>
      <c r="AC18" s="91">
        <f t="shared" si="31"/>
        <v>80</v>
      </c>
      <c r="AE18" s="494" t="str">
        <f>IF(AF24="Texas Energy Experts","0.4% DB High Temp (°C)","2% DB High Temp (°C)")</f>
        <v>2% DB High Temp (°C)</v>
      </c>
      <c r="AF18" s="494"/>
      <c r="AG18" s="97">
        <f>Input!K12</f>
        <v>25</v>
      </c>
      <c r="AH18" s="32"/>
      <c r="BG18" s="34" t="s">
        <v>172</v>
      </c>
      <c r="BH18" s="94">
        <v>15</v>
      </c>
      <c r="BI18" s="101" t="s">
        <v>141</v>
      </c>
      <c r="BK18" s="42" t="s">
        <v>173</v>
      </c>
      <c r="BL18" s="36">
        <v>240</v>
      </c>
      <c r="BM18" s="105" t="s">
        <v>174</v>
      </c>
    </row>
    <row r="19" spans="2:66" ht="15" customHeight="1" x14ac:dyDescent="0.2">
      <c r="B19" s="21" t="s">
        <v>27</v>
      </c>
      <c r="C19" s="91">
        <v>1200.001</v>
      </c>
      <c r="D19" s="91">
        <v>1600</v>
      </c>
      <c r="F19" s="498" t="s">
        <v>27</v>
      </c>
      <c r="G19" s="451"/>
      <c r="H19" s="16">
        <f t="shared" si="16"/>
        <v>200.001</v>
      </c>
      <c r="I19" s="91">
        <v>230</v>
      </c>
      <c r="J19" s="5"/>
      <c r="K19" s="498" t="s">
        <v>27</v>
      </c>
      <c r="L19" s="451"/>
      <c r="M19" s="16">
        <f t="shared" si="17"/>
        <v>310.00099999999998</v>
      </c>
      <c r="N19" s="91">
        <v>360</v>
      </c>
      <c r="O19" s="5"/>
      <c r="T19" s="5"/>
      <c r="U19" s="16">
        <f t="shared" si="29"/>
        <v>21</v>
      </c>
      <c r="V19" s="9">
        <v>1.08</v>
      </c>
      <c r="W19" s="10">
        <v>1.05</v>
      </c>
      <c r="X19" s="9">
        <v>1.04</v>
      </c>
      <c r="Y19" s="16">
        <f t="shared" si="18"/>
        <v>69.800000000000011</v>
      </c>
      <c r="Z19" s="5"/>
      <c r="AA19" s="16">
        <v>90</v>
      </c>
      <c r="AB19" s="16">
        <f t="shared" si="30"/>
        <v>80.001000000000005</v>
      </c>
      <c r="AC19" s="91">
        <f t="shared" si="31"/>
        <v>90</v>
      </c>
      <c r="AE19" s="494" t="s">
        <v>225</v>
      </c>
      <c r="AF19" s="494"/>
      <c r="AG19" s="97">
        <f>Input!K13</f>
        <v>-25</v>
      </c>
      <c r="AH19" s="32"/>
      <c r="AI19" s="205"/>
      <c r="AP19" s="206"/>
      <c r="AQ19" s="206"/>
      <c r="AR19" s="206"/>
      <c r="AS19" s="206"/>
      <c r="AT19" s="206"/>
      <c r="AU19" s="206"/>
      <c r="AV19" s="206"/>
      <c r="AW19" s="206"/>
      <c r="AX19" s="206"/>
      <c r="AY19" s="206"/>
      <c r="AZ19" s="206"/>
      <c r="BG19" s="35" t="s">
        <v>175</v>
      </c>
      <c r="BH19" s="94">
        <f>IF(BH6="P405",85,IF(BH6="P505",85,60))</f>
        <v>60</v>
      </c>
      <c r="BI19" s="36" t="s">
        <v>133</v>
      </c>
      <c r="BJ19" s="43"/>
      <c r="BK19" s="42" t="s">
        <v>176</v>
      </c>
      <c r="BL19" s="36">
        <f>IF(BL6="SE3000H-US",12.5,IF(BL6="SE3800H-US",16,IF(BL6="SE5000H-US",21,IF(BL6="SE6000H-US",25,IF(BL6="SE7600H-US",32,IF(BL6="SE3000A-US",12.5,IF(BL6="SE3800A-US",16,IF(BL6="SE5000A-US",21,IF(BL6="SE6000A-US",25,IF(BL6="SE7600A-US",32,IF(BL6="SE10000A-US",42,IF(BL6="SE11400A-US",47.5,IF(BL6="SE10000H-US",42,IF(BL6="SE11400H-US",47.5,))))))))))))))</f>
        <v>12.5</v>
      </c>
      <c r="BM19" s="105" t="s">
        <v>97</v>
      </c>
      <c r="BN19" s="43"/>
    </row>
    <row r="20" spans="2:66" ht="15" customHeight="1" x14ac:dyDescent="0.2">
      <c r="B20" s="16">
        <v>250</v>
      </c>
      <c r="C20" s="91">
        <v>1600.001</v>
      </c>
      <c r="D20" s="91">
        <v>2000</v>
      </c>
      <c r="F20" s="462">
        <v>250</v>
      </c>
      <c r="G20" s="451"/>
      <c r="H20" s="16">
        <f t="shared" si="16"/>
        <v>230.001</v>
      </c>
      <c r="I20" s="91">
        <v>255</v>
      </c>
      <c r="J20" s="5"/>
      <c r="K20" s="462">
        <v>250</v>
      </c>
      <c r="L20" s="451"/>
      <c r="M20" s="16">
        <f t="shared" si="17"/>
        <v>360.00099999999998</v>
      </c>
      <c r="N20" s="91">
        <v>405</v>
      </c>
      <c r="O20" s="5"/>
      <c r="T20" s="5"/>
      <c r="U20" s="16">
        <f t="shared" si="29"/>
        <v>22</v>
      </c>
      <c r="V20" s="9">
        <v>1.08</v>
      </c>
      <c r="W20" s="10">
        <v>1.05</v>
      </c>
      <c r="X20" s="9">
        <v>1.04</v>
      </c>
      <c r="Y20" s="16">
        <f t="shared" si="18"/>
        <v>71.599999999999994</v>
      </c>
      <c r="Z20" s="5"/>
      <c r="AA20" s="16">
        <v>100</v>
      </c>
      <c r="AB20" s="16">
        <f t="shared" si="30"/>
        <v>90.001000000000005</v>
      </c>
      <c r="AC20" s="91">
        <f t="shared" si="31"/>
        <v>100</v>
      </c>
      <c r="AE20" s="494" t="str">
        <f>IF(AF24="Texas Energy Experts","0.4% DB High Temp (°F)","2% DB High Temp (°F)")</f>
        <v>2% DB High Temp (°F)</v>
      </c>
      <c r="AF20" s="494"/>
      <c r="AG20" s="207">
        <f>(AG18*1.8)+32</f>
        <v>77</v>
      </c>
      <c r="AP20" s="206"/>
      <c r="AQ20" s="206"/>
      <c r="AR20" s="206"/>
      <c r="AS20" s="206"/>
      <c r="AT20" s="206"/>
      <c r="AU20" s="206"/>
      <c r="AV20" s="206"/>
      <c r="AW20" s="206"/>
      <c r="AX20" s="206"/>
      <c r="AY20" s="206"/>
      <c r="AZ20" s="206"/>
      <c r="BG20" s="88"/>
      <c r="BH20" s="88"/>
      <c r="BI20" s="88"/>
      <c r="BK20" s="88"/>
      <c r="BL20" s="88"/>
      <c r="BM20" s="88"/>
    </row>
    <row r="21" spans="2:66" ht="15" customHeight="1" x14ac:dyDescent="0.2">
      <c r="B21" s="16">
        <v>350</v>
      </c>
      <c r="C21" s="91">
        <v>2000.001</v>
      </c>
      <c r="D21" s="91">
        <v>2500</v>
      </c>
      <c r="F21" s="462">
        <v>300</v>
      </c>
      <c r="G21" s="451"/>
      <c r="H21" s="16">
        <f t="shared" si="16"/>
        <v>255.001</v>
      </c>
      <c r="I21" s="91">
        <v>285</v>
      </c>
      <c r="J21" s="5"/>
      <c r="K21" s="462">
        <v>300</v>
      </c>
      <c r="L21" s="451"/>
      <c r="M21" s="16">
        <f t="shared" si="17"/>
        <v>405.00099999999998</v>
      </c>
      <c r="N21" s="91">
        <v>445</v>
      </c>
      <c r="O21" s="5"/>
      <c r="P21" s="5"/>
      <c r="Q21" s="5"/>
      <c r="R21" s="5"/>
      <c r="S21" s="5"/>
      <c r="T21" s="5"/>
      <c r="U21" s="16">
        <f t="shared" si="29"/>
        <v>23</v>
      </c>
      <c r="V21" s="9">
        <v>1.08</v>
      </c>
      <c r="W21" s="10">
        <v>1.05</v>
      </c>
      <c r="X21" s="9">
        <v>1.04</v>
      </c>
      <c r="Y21" s="16">
        <f t="shared" si="18"/>
        <v>73.400000000000006</v>
      </c>
      <c r="Z21" s="5"/>
      <c r="AA21" s="16">
        <v>110</v>
      </c>
      <c r="AB21" s="16">
        <f t="shared" si="30"/>
        <v>100.001</v>
      </c>
      <c r="AC21" s="91">
        <f t="shared" si="31"/>
        <v>110</v>
      </c>
      <c r="AE21" s="494" t="s">
        <v>226</v>
      </c>
      <c r="AF21" s="494"/>
      <c r="AG21" s="207">
        <f>(AG19*1.8)+32</f>
        <v>-13</v>
      </c>
      <c r="AH21" s="206"/>
      <c r="AI21" s="206"/>
      <c r="AJ21" s="206"/>
      <c r="AK21" s="206"/>
      <c r="AL21" s="206"/>
      <c r="AM21" s="206"/>
      <c r="AN21" s="206"/>
      <c r="AO21" s="206"/>
      <c r="AP21" s="206"/>
      <c r="AQ21" s="206"/>
      <c r="AR21" s="206"/>
      <c r="AS21" s="206"/>
      <c r="AT21" s="206"/>
      <c r="AU21" s="206"/>
      <c r="AV21" s="206"/>
      <c r="AW21" s="206"/>
      <c r="AX21" s="206"/>
      <c r="AY21" s="206"/>
      <c r="AZ21" s="206"/>
      <c r="BG21" s="32"/>
      <c r="BH21" s="32"/>
      <c r="BI21" s="32"/>
      <c r="BK21" s="45" t="s">
        <v>189</v>
      </c>
      <c r="BL21" s="492" t="s">
        <v>190</v>
      </c>
      <c r="BM21" s="493"/>
    </row>
    <row r="22" spans="2:66" ht="15" customHeight="1" x14ac:dyDescent="0.2">
      <c r="B22" s="16">
        <v>400</v>
      </c>
      <c r="C22" s="91">
        <v>2500.0010000000002</v>
      </c>
      <c r="D22" s="91">
        <v>3000</v>
      </c>
      <c r="F22" s="462">
        <v>350</v>
      </c>
      <c r="G22" s="451"/>
      <c r="H22" s="16">
        <f t="shared" si="16"/>
        <v>285.00099999999998</v>
      </c>
      <c r="I22" s="91">
        <v>310</v>
      </c>
      <c r="J22" s="5"/>
      <c r="K22" s="462">
        <v>350</v>
      </c>
      <c r="L22" s="451"/>
      <c r="M22" s="16">
        <f t="shared" si="17"/>
        <v>445.00099999999998</v>
      </c>
      <c r="N22" s="91">
        <v>505</v>
      </c>
      <c r="O22" s="5"/>
      <c r="P22" s="478" t="s">
        <v>24</v>
      </c>
      <c r="Q22" s="478"/>
      <c r="R22" s="478"/>
      <c r="S22" s="478"/>
      <c r="T22" s="5"/>
      <c r="U22" s="16">
        <f t="shared" si="29"/>
        <v>24</v>
      </c>
      <c r="V22" s="9">
        <v>1.08</v>
      </c>
      <c r="W22" s="10">
        <v>1.05</v>
      </c>
      <c r="X22" s="9">
        <v>1.04</v>
      </c>
      <c r="Y22" s="16">
        <f t="shared" si="18"/>
        <v>75.2</v>
      </c>
      <c r="Z22" s="5"/>
      <c r="AA22" s="16">
        <v>125</v>
      </c>
      <c r="AB22" s="16">
        <f t="shared" si="30"/>
        <v>110.001</v>
      </c>
      <c r="AC22" s="91">
        <f t="shared" si="31"/>
        <v>125</v>
      </c>
      <c r="AE22" s="497" t="s">
        <v>777</v>
      </c>
      <c r="AF22" s="497"/>
      <c r="AG22" s="193">
        <f>((AG18+33)*1.8)+32</f>
        <v>136.4</v>
      </c>
      <c r="AH22" s="206"/>
      <c r="AI22" s="206"/>
      <c r="AJ22" s="206"/>
      <c r="AK22" s="206"/>
      <c r="AL22" s="206"/>
      <c r="AM22" s="206"/>
      <c r="AN22" s="206"/>
      <c r="AO22" s="206"/>
      <c r="AP22" s="206"/>
      <c r="AQ22" s="206"/>
      <c r="AR22" s="206"/>
      <c r="AS22" s="206"/>
      <c r="AT22" s="206"/>
      <c r="AU22" s="206"/>
      <c r="AV22" s="206"/>
      <c r="AW22" s="206"/>
      <c r="AX22" s="206"/>
      <c r="AY22" s="206"/>
      <c r="AZ22" s="206"/>
      <c r="BG22" s="32"/>
      <c r="BH22" s="32"/>
      <c r="BI22" s="32"/>
      <c r="BK22" s="34" t="s">
        <v>192</v>
      </c>
      <c r="BL22" s="46" t="s">
        <v>193</v>
      </c>
      <c r="BM22" s="46" t="s">
        <v>219</v>
      </c>
    </row>
    <row r="23" spans="2:66" ht="15" customHeight="1" x14ac:dyDescent="0.2">
      <c r="B23" s="16">
        <v>500</v>
      </c>
      <c r="C23" s="91">
        <v>3000.0010000000002</v>
      </c>
      <c r="D23" s="91">
        <v>4000</v>
      </c>
      <c r="F23" s="462">
        <v>400</v>
      </c>
      <c r="G23" s="451"/>
      <c r="H23" s="16">
        <f t="shared" si="16"/>
        <v>310.00099999999998</v>
      </c>
      <c r="I23" s="91">
        <v>335</v>
      </c>
      <c r="J23" s="5"/>
      <c r="K23" s="462">
        <v>400</v>
      </c>
      <c r="L23" s="451"/>
      <c r="M23" s="16">
        <f t="shared" si="17"/>
        <v>505.00099999999998</v>
      </c>
      <c r="N23" s="91">
        <v>545</v>
      </c>
      <c r="O23" s="5"/>
      <c r="T23" s="5"/>
      <c r="U23" s="16">
        <f t="shared" si="29"/>
        <v>25</v>
      </c>
      <c r="V23" s="9">
        <v>1.08</v>
      </c>
      <c r="W23" s="10">
        <v>1.05</v>
      </c>
      <c r="X23" s="9">
        <v>1.04</v>
      </c>
      <c r="Y23" s="16">
        <f t="shared" si="18"/>
        <v>77</v>
      </c>
      <c r="Z23" s="5"/>
      <c r="AA23" s="16">
        <v>150</v>
      </c>
      <c r="AB23" s="16">
        <f t="shared" si="30"/>
        <v>125.001</v>
      </c>
      <c r="AC23" s="91">
        <f t="shared" si="31"/>
        <v>150</v>
      </c>
      <c r="AG23" s="208"/>
      <c r="AH23" s="206"/>
      <c r="AI23" s="206"/>
      <c r="AJ23" s="206"/>
      <c r="AK23" s="206"/>
      <c r="AL23" s="206"/>
      <c r="AM23" s="206"/>
      <c r="AN23" s="206"/>
      <c r="AO23" s="206"/>
      <c r="AP23" s="206"/>
      <c r="AQ23" s="206"/>
      <c r="AR23" s="206"/>
      <c r="AS23" s="206"/>
      <c r="AT23" s="206"/>
      <c r="AU23" s="206"/>
      <c r="AV23" s="206"/>
      <c r="AW23" s="206"/>
      <c r="AX23" s="206"/>
      <c r="AY23" s="206"/>
      <c r="AZ23" s="206"/>
      <c r="BG23" s="32"/>
      <c r="BH23" s="32"/>
      <c r="BI23" s="32"/>
      <c r="BK23" s="35" t="s">
        <v>195</v>
      </c>
      <c r="BL23" s="101" t="s">
        <v>196</v>
      </c>
      <c r="BM23" s="101">
        <v>5250</v>
      </c>
    </row>
    <row r="24" spans="2:66" ht="15" customHeight="1" x14ac:dyDescent="0.2">
      <c r="B24" s="16">
        <v>700</v>
      </c>
      <c r="C24" s="91">
        <v>4000.0010000000002</v>
      </c>
      <c r="D24" s="91">
        <v>5000</v>
      </c>
      <c r="F24" s="462">
        <v>500</v>
      </c>
      <c r="G24" s="451"/>
      <c r="H24" s="16">
        <f t="shared" si="16"/>
        <v>335.00099999999998</v>
      </c>
      <c r="I24" s="91">
        <v>380</v>
      </c>
      <c r="J24" s="5"/>
      <c r="K24" s="462">
        <v>500</v>
      </c>
      <c r="L24" s="451"/>
      <c r="M24" s="16">
        <f t="shared" si="17"/>
        <v>545.00099999999998</v>
      </c>
      <c r="N24" s="91">
        <v>620</v>
      </c>
      <c r="O24" s="5"/>
      <c r="P24" s="472" t="s">
        <v>26</v>
      </c>
      <c r="Q24" s="473"/>
      <c r="R24" s="473"/>
      <c r="S24" s="474"/>
      <c r="T24" s="5"/>
      <c r="U24" s="16">
        <f t="shared" si="29"/>
        <v>26</v>
      </c>
      <c r="V24" s="9">
        <v>1</v>
      </c>
      <c r="W24" s="10">
        <v>1</v>
      </c>
      <c r="X24" s="9">
        <v>1</v>
      </c>
      <c r="Y24" s="16">
        <f t="shared" si="18"/>
        <v>78.800000000000011</v>
      </c>
      <c r="Z24" s="5"/>
      <c r="AA24" s="16">
        <v>175</v>
      </c>
      <c r="AB24" s="16">
        <f t="shared" si="30"/>
        <v>150.001</v>
      </c>
      <c r="AC24" s="91">
        <f t="shared" si="31"/>
        <v>175</v>
      </c>
      <c r="AE24" s="103" t="s">
        <v>93</v>
      </c>
      <c r="AF24" s="57" t="str">
        <f>Input!D4</f>
        <v>Palmetto</v>
      </c>
      <c r="AG24" s="208"/>
      <c r="AH24" s="206"/>
      <c r="AI24" s="206"/>
      <c r="AJ24" s="206"/>
      <c r="AK24" s="206"/>
      <c r="AL24" s="206"/>
      <c r="AM24" s="206"/>
      <c r="AN24" s="206"/>
      <c r="AO24" s="206"/>
      <c r="AP24" s="206"/>
      <c r="AQ24" s="206"/>
      <c r="AR24" s="206"/>
      <c r="AS24" s="206"/>
      <c r="AT24" s="206"/>
      <c r="AU24" s="206"/>
      <c r="AV24" s="206"/>
      <c r="AW24" s="206"/>
      <c r="AX24" s="206"/>
      <c r="AY24" s="206"/>
      <c r="AZ24" s="206"/>
      <c r="BK24" s="35" t="s">
        <v>198</v>
      </c>
      <c r="BL24" s="36" t="s">
        <v>199</v>
      </c>
      <c r="BM24" s="36">
        <v>5250</v>
      </c>
    </row>
    <row r="25" spans="2:66" ht="15" customHeight="1" x14ac:dyDescent="0.2">
      <c r="B25" s="92">
        <v>800</v>
      </c>
      <c r="C25" s="98">
        <v>5000.0010000000002</v>
      </c>
      <c r="D25" s="98">
        <v>6000</v>
      </c>
      <c r="F25" s="462">
        <v>600</v>
      </c>
      <c r="G25" s="451"/>
      <c r="H25" s="16">
        <f t="shared" si="16"/>
        <v>380.00099999999998</v>
      </c>
      <c r="I25" s="91">
        <v>420</v>
      </c>
      <c r="J25" s="5"/>
      <c r="K25" s="462">
        <v>600</v>
      </c>
      <c r="L25" s="451"/>
      <c r="M25" s="16">
        <f t="shared" si="17"/>
        <v>620.00099999999998</v>
      </c>
      <c r="N25" s="91">
        <v>690</v>
      </c>
      <c r="O25" s="5"/>
      <c r="P25" s="475"/>
      <c r="Q25" s="476"/>
      <c r="R25" s="476"/>
      <c r="S25" s="477"/>
      <c r="T25" s="5"/>
      <c r="U25" s="16">
        <f t="shared" si="29"/>
        <v>27</v>
      </c>
      <c r="V25" s="9">
        <v>1</v>
      </c>
      <c r="W25" s="10">
        <v>1</v>
      </c>
      <c r="X25" s="9">
        <v>1</v>
      </c>
      <c r="Y25" s="16">
        <f t="shared" si="18"/>
        <v>80.599999999999994</v>
      </c>
      <c r="Z25" s="5"/>
      <c r="AA25" s="16">
        <v>200</v>
      </c>
      <c r="AB25" s="16">
        <f t="shared" si="30"/>
        <v>175.001</v>
      </c>
      <c r="AC25" s="91">
        <f t="shared" si="31"/>
        <v>200</v>
      </c>
      <c r="AE25" s="42"/>
      <c r="AF25" s="28"/>
      <c r="AG25" s="208"/>
      <c r="AH25" s="206"/>
      <c r="AI25" s="206"/>
      <c r="AJ25" s="206"/>
      <c r="AK25" s="206"/>
      <c r="AL25" s="206"/>
      <c r="AM25" s="206"/>
      <c r="AN25" s="206"/>
      <c r="AO25" s="206"/>
      <c r="AP25" s="206"/>
      <c r="AQ25" s="206"/>
      <c r="AR25" s="206"/>
      <c r="AS25" s="206"/>
      <c r="AT25" s="206"/>
      <c r="AU25" s="206"/>
      <c r="AV25" s="206"/>
      <c r="AW25" s="206"/>
      <c r="AX25" s="206"/>
      <c r="AY25" s="206"/>
      <c r="AZ25" s="206"/>
      <c r="BK25" s="35" t="s">
        <v>201</v>
      </c>
      <c r="BL25" s="36" t="s">
        <v>202</v>
      </c>
      <c r="BM25" s="36">
        <v>5250</v>
      </c>
    </row>
    <row r="26" spans="2:66" ht="15" customHeight="1" x14ac:dyDescent="0.2">
      <c r="F26" s="462">
        <v>700</v>
      </c>
      <c r="G26" s="451"/>
      <c r="H26" s="16">
        <f t="shared" si="16"/>
        <v>420.00099999999998</v>
      </c>
      <c r="I26" s="91">
        <v>460</v>
      </c>
      <c r="J26" s="5"/>
      <c r="K26" s="462">
        <v>700</v>
      </c>
      <c r="L26" s="451"/>
      <c r="M26" s="16">
        <f t="shared" si="17"/>
        <v>690.00099999999998</v>
      </c>
      <c r="N26" s="91">
        <v>755</v>
      </c>
      <c r="O26" s="5"/>
      <c r="P26" s="471" t="s">
        <v>18</v>
      </c>
      <c r="Q26" s="471"/>
      <c r="R26" s="490" t="s">
        <v>25</v>
      </c>
      <c r="S26" s="491"/>
      <c r="T26" s="5"/>
      <c r="U26" s="16">
        <f t="shared" si="29"/>
        <v>28</v>
      </c>
      <c r="V26" s="9">
        <v>1</v>
      </c>
      <c r="W26" s="10">
        <v>1</v>
      </c>
      <c r="X26" s="9">
        <v>1</v>
      </c>
      <c r="Y26" s="16">
        <f t="shared" si="18"/>
        <v>82.4</v>
      </c>
      <c r="Z26" s="5"/>
      <c r="AA26" s="16">
        <v>225</v>
      </c>
      <c r="AB26" s="16">
        <f t="shared" si="30"/>
        <v>200.001</v>
      </c>
      <c r="AC26" s="91">
        <f t="shared" si="31"/>
        <v>225</v>
      </c>
      <c r="AE26" s="495" t="s">
        <v>95</v>
      </c>
      <c r="AF26" s="496"/>
      <c r="AG26" s="208"/>
      <c r="AH26" s="206"/>
      <c r="AI26" s="206"/>
      <c r="AJ26" s="206"/>
      <c r="AK26" s="206"/>
      <c r="AL26" s="206"/>
      <c r="AM26" s="206"/>
      <c r="AN26" s="206"/>
      <c r="AO26" s="206"/>
      <c r="AP26" s="206"/>
      <c r="AQ26" s="206"/>
      <c r="AR26" s="206"/>
      <c r="AS26" s="206"/>
      <c r="AT26" s="206"/>
      <c r="AU26" s="206"/>
      <c r="AV26" s="206"/>
      <c r="AW26" s="206"/>
      <c r="AX26" s="206"/>
      <c r="AY26" s="206"/>
      <c r="AZ26" s="206"/>
      <c r="BK26" s="35" t="s">
        <v>205</v>
      </c>
      <c r="BL26" s="36" t="s">
        <v>206</v>
      </c>
      <c r="BM26" s="36">
        <v>5250</v>
      </c>
    </row>
    <row r="27" spans="2:66" ht="15" customHeight="1" x14ac:dyDescent="0.2">
      <c r="F27" s="462">
        <v>750</v>
      </c>
      <c r="G27" s="451"/>
      <c r="H27" s="16">
        <f t="shared" si="16"/>
        <v>460.00099999999998</v>
      </c>
      <c r="I27" s="91">
        <v>475</v>
      </c>
      <c r="J27" s="5"/>
      <c r="K27" s="462">
        <v>750</v>
      </c>
      <c r="L27" s="451"/>
      <c r="M27" s="16">
        <f t="shared" si="17"/>
        <v>755.00099999999998</v>
      </c>
      <c r="N27" s="91">
        <v>785</v>
      </c>
      <c r="O27" s="5"/>
      <c r="P27" s="469">
        <v>14</v>
      </c>
      <c r="Q27" s="470"/>
      <c r="R27" s="469">
        <v>9.7000000000000003E-3</v>
      </c>
      <c r="S27" s="470"/>
      <c r="T27" s="5"/>
      <c r="U27" s="16">
        <f t="shared" si="29"/>
        <v>29</v>
      </c>
      <c r="V27" s="9">
        <v>1</v>
      </c>
      <c r="W27" s="10">
        <v>1</v>
      </c>
      <c r="X27" s="9">
        <v>1</v>
      </c>
      <c r="Y27" s="16">
        <f t="shared" si="18"/>
        <v>84.2</v>
      </c>
      <c r="Z27" s="5"/>
      <c r="AA27" s="16">
        <v>250</v>
      </c>
      <c r="AB27" s="16">
        <f t="shared" si="30"/>
        <v>225.001</v>
      </c>
      <c r="AC27" s="91">
        <f t="shared" si="31"/>
        <v>250</v>
      </c>
      <c r="AE27" s="495"/>
      <c r="AF27" s="496"/>
      <c r="AH27" s="206"/>
      <c r="AI27" s="206"/>
      <c r="AJ27" s="206"/>
      <c r="AK27" s="206"/>
      <c r="AL27" s="206"/>
      <c r="AM27" s="206"/>
      <c r="AN27" s="206"/>
      <c r="AO27" s="206"/>
      <c r="AP27" s="206"/>
      <c r="AQ27" s="206"/>
      <c r="AR27" s="206"/>
      <c r="AS27" s="206"/>
      <c r="AT27" s="206"/>
      <c r="AU27" s="206"/>
      <c r="AV27" s="206"/>
      <c r="AW27" s="206"/>
      <c r="AX27" s="206"/>
      <c r="AY27" s="206"/>
      <c r="AZ27" s="206"/>
      <c r="BK27" s="35" t="s">
        <v>212</v>
      </c>
      <c r="BL27" s="36" t="s">
        <v>208</v>
      </c>
      <c r="BM27" s="36">
        <v>5250</v>
      </c>
    </row>
    <row r="28" spans="2:66" ht="15" customHeight="1" x14ac:dyDescent="0.2">
      <c r="F28" s="462">
        <v>800</v>
      </c>
      <c r="G28" s="451"/>
      <c r="H28" s="16">
        <f t="shared" si="16"/>
        <v>475.00099999999998</v>
      </c>
      <c r="I28" s="91">
        <v>490</v>
      </c>
      <c r="J28" s="5"/>
      <c r="K28" s="462">
        <v>800</v>
      </c>
      <c r="L28" s="451"/>
      <c r="M28" s="16">
        <f t="shared" si="17"/>
        <v>785.00099999999998</v>
      </c>
      <c r="N28" s="91">
        <v>815</v>
      </c>
      <c r="O28" s="5"/>
      <c r="P28" s="462">
        <v>12</v>
      </c>
      <c r="Q28" s="451"/>
      <c r="R28" s="462">
        <v>1.3299999999999999E-2</v>
      </c>
      <c r="S28" s="451"/>
      <c r="T28" s="5"/>
      <c r="U28" s="16">
        <f t="shared" si="29"/>
        <v>30</v>
      </c>
      <c r="V28" s="9">
        <v>1</v>
      </c>
      <c r="W28" s="10">
        <v>1</v>
      </c>
      <c r="X28" s="9">
        <v>1</v>
      </c>
      <c r="Y28" s="16">
        <f t="shared" si="18"/>
        <v>86</v>
      </c>
      <c r="Z28" s="5"/>
      <c r="AA28" s="16">
        <v>300</v>
      </c>
      <c r="AB28" s="16">
        <f t="shared" si="30"/>
        <v>250.001</v>
      </c>
      <c r="AC28" s="91">
        <f t="shared" si="31"/>
        <v>300</v>
      </c>
      <c r="AE28" s="514" t="s">
        <v>96</v>
      </c>
      <c r="AF28" s="515"/>
      <c r="AH28" s="206"/>
      <c r="AI28" s="206"/>
      <c r="AJ28" s="206"/>
      <c r="AK28" s="206"/>
      <c r="AL28" s="206"/>
      <c r="AM28" s="206"/>
      <c r="AN28" s="206"/>
      <c r="AO28" s="206"/>
      <c r="AP28" s="206"/>
      <c r="AQ28" s="206"/>
      <c r="AR28" s="206"/>
      <c r="AS28" s="206"/>
      <c r="AT28" s="206"/>
      <c r="AU28" s="206"/>
      <c r="AV28" s="206"/>
      <c r="AW28" s="206"/>
      <c r="AX28" s="206"/>
      <c r="AY28" s="206"/>
      <c r="AZ28" s="206"/>
      <c r="BK28" s="35" t="s">
        <v>213</v>
      </c>
      <c r="BL28" s="36" t="s">
        <v>209</v>
      </c>
      <c r="BM28" s="36">
        <v>5250</v>
      </c>
    </row>
    <row r="29" spans="2:66" ht="15" customHeight="1" x14ac:dyDescent="0.2">
      <c r="F29" s="462">
        <v>900</v>
      </c>
      <c r="G29" s="451"/>
      <c r="H29" s="16">
        <f t="shared" si="16"/>
        <v>490.00099999999998</v>
      </c>
      <c r="I29" s="91">
        <v>520</v>
      </c>
      <c r="J29" s="5"/>
      <c r="K29" s="462">
        <v>900</v>
      </c>
      <c r="L29" s="451"/>
      <c r="M29" s="16">
        <f t="shared" si="17"/>
        <v>815.00099999999998</v>
      </c>
      <c r="N29" s="91">
        <v>870</v>
      </c>
      <c r="O29" s="5"/>
      <c r="P29" s="462">
        <v>10</v>
      </c>
      <c r="Q29" s="451"/>
      <c r="R29" s="462">
        <v>2.1100000000000001E-2</v>
      </c>
      <c r="S29" s="451"/>
      <c r="T29" s="5"/>
      <c r="U29" s="16">
        <f t="shared" si="29"/>
        <v>31</v>
      </c>
      <c r="V29" s="9">
        <v>0.91</v>
      </c>
      <c r="W29" s="10">
        <v>0.94</v>
      </c>
      <c r="X29" s="9">
        <v>0.96</v>
      </c>
      <c r="Y29" s="16">
        <f t="shared" si="18"/>
        <v>87.800000000000011</v>
      </c>
      <c r="Z29" s="5"/>
      <c r="AA29" s="16">
        <v>350</v>
      </c>
      <c r="AB29" s="16">
        <f t="shared" si="30"/>
        <v>300.00099999999998</v>
      </c>
      <c r="AC29" s="91">
        <f t="shared" si="31"/>
        <v>350</v>
      </c>
      <c r="AE29" s="514"/>
      <c r="AF29" s="515"/>
      <c r="AH29" s="206"/>
      <c r="AI29" s="206"/>
      <c r="AJ29" s="206"/>
      <c r="AK29" s="206"/>
      <c r="AL29" s="206"/>
      <c r="AM29" s="206"/>
      <c r="AN29" s="206"/>
      <c r="AO29" s="206"/>
      <c r="AP29" s="206"/>
      <c r="AQ29" s="206"/>
      <c r="AR29" s="206"/>
      <c r="AS29" s="206"/>
      <c r="AT29" s="206"/>
      <c r="AU29" s="206"/>
      <c r="AV29" s="206"/>
      <c r="AW29" s="206"/>
      <c r="AX29" s="206"/>
      <c r="AY29" s="206"/>
      <c r="AZ29" s="206"/>
      <c r="BK29" s="35" t="s">
        <v>196</v>
      </c>
      <c r="BL29" s="36" t="s">
        <v>211</v>
      </c>
      <c r="BM29" s="36">
        <v>5250</v>
      </c>
    </row>
    <row r="30" spans="2:66" ht="15" customHeight="1" x14ac:dyDescent="0.2">
      <c r="F30" s="462">
        <v>1000</v>
      </c>
      <c r="G30" s="451"/>
      <c r="H30" s="16">
        <f t="shared" si="16"/>
        <v>520.00099999999998</v>
      </c>
      <c r="I30" s="91">
        <v>545</v>
      </c>
      <c r="J30" s="5"/>
      <c r="K30" s="462">
        <v>1000</v>
      </c>
      <c r="L30" s="451"/>
      <c r="M30" s="16">
        <f t="shared" si="17"/>
        <v>870.00099999999998</v>
      </c>
      <c r="N30" s="91">
        <v>935</v>
      </c>
      <c r="O30" s="5"/>
      <c r="P30" s="462">
        <v>8</v>
      </c>
      <c r="Q30" s="451"/>
      <c r="R30" s="462">
        <v>3.6600000000000001E-2</v>
      </c>
      <c r="S30" s="451"/>
      <c r="T30" s="5"/>
      <c r="U30" s="16">
        <f t="shared" si="29"/>
        <v>32</v>
      </c>
      <c r="V30" s="9">
        <v>0.91</v>
      </c>
      <c r="W30" s="10">
        <v>0.94</v>
      </c>
      <c r="X30" s="9">
        <v>0.96</v>
      </c>
      <c r="Y30" s="16">
        <f t="shared" si="18"/>
        <v>89.6</v>
      </c>
      <c r="Z30" s="5"/>
      <c r="AA30" s="16">
        <v>400</v>
      </c>
      <c r="AB30" s="16">
        <f t="shared" si="30"/>
        <v>350.00099999999998</v>
      </c>
      <c r="AC30" s="91">
        <f t="shared" si="31"/>
        <v>400</v>
      </c>
      <c r="AE30" s="514"/>
      <c r="AF30" s="515"/>
      <c r="AH30" s="206"/>
      <c r="AI30" s="206"/>
      <c r="AJ30" s="206"/>
      <c r="AK30" s="206"/>
      <c r="AL30" s="206"/>
      <c r="AM30" s="206"/>
      <c r="AN30" s="206"/>
      <c r="AO30" s="206"/>
      <c r="AP30" s="206"/>
      <c r="AQ30" s="206"/>
      <c r="AR30" s="206"/>
      <c r="AS30" s="206"/>
      <c r="AT30" s="206"/>
      <c r="AU30" s="206"/>
      <c r="AV30" s="206"/>
      <c r="AW30" s="206"/>
      <c r="AX30" s="206"/>
      <c r="AY30" s="206"/>
      <c r="AZ30" s="206"/>
      <c r="BK30" s="35" t="s">
        <v>199</v>
      </c>
      <c r="BL30" s="36" t="s">
        <v>192</v>
      </c>
      <c r="BM30" s="36">
        <v>5700</v>
      </c>
    </row>
    <row r="31" spans="2:66" ht="15" customHeight="1" x14ac:dyDescent="0.2">
      <c r="F31" s="462">
        <v>1250</v>
      </c>
      <c r="G31" s="451"/>
      <c r="H31" s="16">
        <f t="shared" si="16"/>
        <v>545.00099999999998</v>
      </c>
      <c r="I31" s="91">
        <v>590</v>
      </c>
      <c r="J31" s="5"/>
      <c r="K31" s="462">
        <v>1250</v>
      </c>
      <c r="L31" s="451"/>
      <c r="M31" s="16">
        <f t="shared" si="17"/>
        <v>935.00099999999998</v>
      </c>
      <c r="N31" s="91">
        <v>1065</v>
      </c>
      <c r="O31" s="5"/>
      <c r="P31" s="462">
        <v>6</v>
      </c>
      <c r="Q31" s="451"/>
      <c r="R31" s="462">
        <v>5.0700000000000002E-2</v>
      </c>
      <c r="S31" s="451"/>
      <c r="T31" s="5"/>
      <c r="U31" s="16">
        <f t="shared" si="29"/>
        <v>33</v>
      </c>
      <c r="V31" s="9">
        <v>0.91</v>
      </c>
      <c r="W31" s="10">
        <v>0.94</v>
      </c>
      <c r="X31" s="9">
        <v>0.96</v>
      </c>
      <c r="Y31" s="16">
        <f t="shared" si="18"/>
        <v>91.4</v>
      </c>
      <c r="Z31" s="5"/>
      <c r="AA31" s="16">
        <v>450</v>
      </c>
      <c r="AB31" s="16">
        <f t="shared" si="30"/>
        <v>400.00099999999998</v>
      </c>
      <c r="AC31" s="91">
        <f t="shared" si="31"/>
        <v>450</v>
      </c>
      <c r="AE31" s="514"/>
      <c r="AF31" s="515"/>
      <c r="AH31" s="206"/>
      <c r="AI31" s="206"/>
      <c r="AJ31" s="206"/>
      <c r="AK31" s="206"/>
      <c r="AL31" s="206"/>
      <c r="AM31" s="206"/>
      <c r="AN31" s="206"/>
      <c r="AO31" s="206"/>
      <c r="AP31" s="206"/>
      <c r="AQ31" s="206"/>
      <c r="AR31" s="206"/>
      <c r="AS31" s="206"/>
      <c r="AT31" s="206"/>
      <c r="AU31" s="206"/>
      <c r="AV31" s="206"/>
      <c r="AW31" s="206"/>
      <c r="AX31" s="206"/>
      <c r="AY31" s="206"/>
      <c r="AZ31" s="206"/>
      <c r="BK31" s="35" t="s">
        <v>202</v>
      </c>
      <c r="BL31" s="36" t="s">
        <v>195</v>
      </c>
      <c r="BM31" s="36">
        <v>5700</v>
      </c>
    </row>
    <row r="32" spans="2:66" ht="15" customHeight="1" x14ac:dyDescent="0.2">
      <c r="F32" s="462">
        <v>1500</v>
      </c>
      <c r="G32" s="451"/>
      <c r="H32" s="16">
        <f t="shared" si="16"/>
        <v>590.00099999999998</v>
      </c>
      <c r="I32" s="91">
        <v>625</v>
      </c>
      <c r="J32" s="5"/>
      <c r="K32" s="462">
        <v>1500</v>
      </c>
      <c r="L32" s="451"/>
      <c r="M32" s="16">
        <f t="shared" si="17"/>
        <v>1065.001</v>
      </c>
      <c r="N32" s="91">
        <v>1175</v>
      </c>
      <c r="O32" s="5"/>
      <c r="P32" s="462">
        <v>4</v>
      </c>
      <c r="Q32" s="451"/>
      <c r="R32" s="462">
        <v>8.2400000000000001E-2</v>
      </c>
      <c r="S32" s="451"/>
      <c r="T32" s="5"/>
      <c r="U32" s="16">
        <f t="shared" si="29"/>
        <v>34</v>
      </c>
      <c r="V32" s="9">
        <v>0.91</v>
      </c>
      <c r="W32" s="10">
        <v>0.94</v>
      </c>
      <c r="X32" s="9">
        <v>0.96</v>
      </c>
      <c r="Y32" s="16">
        <f t="shared" si="18"/>
        <v>93.2</v>
      </c>
      <c r="Z32" s="5"/>
      <c r="AA32" s="16">
        <v>500</v>
      </c>
      <c r="AB32" s="16">
        <f t="shared" si="30"/>
        <v>450.00099999999998</v>
      </c>
      <c r="AC32" s="91">
        <f t="shared" si="31"/>
        <v>500</v>
      </c>
      <c r="AE32" s="486" t="str">
        <f>VLOOKUP(AF24,'Utility &amp; Client Info'!Y3:Z3,2,FALSE)</f>
        <v>No wire smaller than 10 AWG or 3/4" conduit</v>
      </c>
      <c r="AF32" s="487"/>
      <c r="AH32" s="206"/>
      <c r="AI32" s="206"/>
      <c r="AJ32" s="206"/>
      <c r="AK32" s="206"/>
      <c r="AL32" s="206"/>
      <c r="AM32" s="206"/>
      <c r="AN32" s="206"/>
      <c r="AO32" s="206"/>
      <c r="AP32" s="206"/>
      <c r="AQ32" s="206"/>
      <c r="AR32" s="206"/>
      <c r="AS32" s="206"/>
      <c r="AT32" s="206"/>
      <c r="AU32" s="206"/>
      <c r="AV32" s="206"/>
      <c r="AW32" s="206"/>
      <c r="AX32" s="206"/>
      <c r="AY32" s="206"/>
      <c r="AZ32" s="206"/>
      <c r="BK32" s="35" t="s">
        <v>206</v>
      </c>
      <c r="BL32" s="36" t="s">
        <v>198</v>
      </c>
      <c r="BM32" s="36">
        <v>5700</v>
      </c>
    </row>
    <row r="33" spans="6:65" ht="15" customHeight="1" x14ac:dyDescent="0.2">
      <c r="F33" s="462">
        <v>1750</v>
      </c>
      <c r="G33" s="451"/>
      <c r="H33" s="16">
        <f t="shared" si="16"/>
        <v>625.00099999999998</v>
      </c>
      <c r="I33" s="91">
        <v>650</v>
      </c>
      <c r="J33" s="5"/>
      <c r="K33" s="462">
        <v>1750</v>
      </c>
      <c r="L33" s="451"/>
      <c r="M33" s="16">
        <f t="shared" si="17"/>
        <v>1175.001</v>
      </c>
      <c r="N33" s="91">
        <v>1280</v>
      </c>
      <c r="O33" s="5"/>
      <c r="P33" s="462">
        <v>3</v>
      </c>
      <c r="Q33" s="451"/>
      <c r="R33" s="462">
        <v>9.7299999999999998E-2</v>
      </c>
      <c r="S33" s="451"/>
      <c r="T33" s="5"/>
      <c r="U33" s="16">
        <f t="shared" si="29"/>
        <v>35</v>
      </c>
      <c r="V33" s="9">
        <v>0.91</v>
      </c>
      <c r="W33" s="10">
        <v>0.94</v>
      </c>
      <c r="X33" s="9">
        <v>0.96</v>
      </c>
      <c r="Y33" s="16">
        <f t="shared" si="18"/>
        <v>95</v>
      </c>
      <c r="Z33" s="5"/>
      <c r="AA33" s="16">
        <v>600</v>
      </c>
      <c r="AB33" s="16">
        <f t="shared" si="30"/>
        <v>500.00099999999998</v>
      </c>
      <c r="AC33" s="91">
        <f t="shared" si="31"/>
        <v>600</v>
      </c>
      <c r="AE33" s="486"/>
      <c r="AF33" s="487"/>
      <c r="AH33" s="206"/>
      <c r="AI33" s="206"/>
      <c r="AJ33" s="206"/>
      <c r="AK33" s="206"/>
      <c r="AL33" s="206"/>
      <c r="AM33" s="206"/>
      <c r="AN33" s="206"/>
      <c r="AO33" s="206"/>
      <c r="AP33" s="206"/>
      <c r="AQ33" s="206"/>
      <c r="AR33" s="206"/>
      <c r="AS33" s="206"/>
      <c r="AT33" s="206"/>
      <c r="AU33" s="206"/>
      <c r="AV33" s="206"/>
      <c r="AW33" s="206"/>
      <c r="AX33" s="206"/>
      <c r="AY33" s="206"/>
      <c r="AZ33" s="206"/>
      <c r="BK33" s="35" t="s">
        <v>208</v>
      </c>
      <c r="BL33" s="36" t="s">
        <v>201</v>
      </c>
      <c r="BM33" s="36">
        <v>5700</v>
      </c>
    </row>
    <row r="34" spans="6:65" ht="15" customHeight="1" x14ac:dyDescent="0.2">
      <c r="F34" s="480">
        <v>2000</v>
      </c>
      <c r="G34" s="481"/>
      <c r="H34" s="92">
        <f t="shared" si="16"/>
        <v>650.00099999999998</v>
      </c>
      <c r="I34" s="98">
        <v>665</v>
      </c>
      <c r="J34" s="5"/>
      <c r="K34" s="480">
        <v>2000</v>
      </c>
      <c r="L34" s="481"/>
      <c r="M34" s="92">
        <f t="shared" si="17"/>
        <v>1280.001</v>
      </c>
      <c r="N34" s="98">
        <v>1385</v>
      </c>
      <c r="O34" s="5"/>
      <c r="P34" s="462">
        <v>2</v>
      </c>
      <c r="Q34" s="451"/>
      <c r="R34" s="462">
        <v>0.1158</v>
      </c>
      <c r="S34" s="451"/>
      <c r="T34" s="5"/>
      <c r="U34" s="16">
        <f t="shared" si="29"/>
        <v>36</v>
      </c>
      <c r="V34" s="9">
        <v>0.82</v>
      </c>
      <c r="W34" s="10">
        <v>0.88</v>
      </c>
      <c r="X34" s="9">
        <v>0.91</v>
      </c>
      <c r="Y34" s="16">
        <f t="shared" si="18"/>
        <v>96.8</v>
      </c>
      <c r="Z34" s="5"/>
      <c r="AA34" s="16">
        <v>700</v>
      </c>
      <c r="AB34" s="16">
        <f t="shared" si="30"/>
        <v>600.00099999999998</v>
      </c>
      <c r="AC34" s="91">
        <f t="shared" si="31"/>
        <v>700</v>
      </c>
      <c r="AE34" s="486"/>
      <c r="AF34" s="487"/>
      <c r="AH34" s="206"/>
      <c r="AI34" s="206"/>
      <c r="AJ34" s="206"/>
      <c r="AK34" s="206"/>
      <c r="AL34" s="206"/>
      <c r="AM34" s="206"/>
      <c r="AN34" s="206"/>
      <c r="AO34" s="206"/>
      <c r="AP34" s="206"/>
      <c r="AQ34" s="206"/>
      <c r="AR34" s="206"/>
      <c r="AS34" s="206"/>
      <c r="AT34" s="206"/>
      <c r="AU34" s="206"/>
      <c r="AV34" s="206"/>
      <c r="AW34" s="206"/>
      <c r="AX34" s="206"/>
      <c r="AY34" s="206"/>
      <c r="AZ34" s="206"/>
      <c r="BK34" s="35" t="s">
        <v>209</v>
      </c>
      <c r="BL34" s="36" t="s">
        <v>205</v>
      </c>
      <c r="BM34" s="36">
        <v>6000</v>
      </c>
    </row>
    <row r="35" spans="6:65" ht="15" customHeight="1" x14ac:dyDescent="0.2">
      <c r="F35" s="1"/>
      <c r="G35" s="1"/>
      <c r="H35" s="1"/>
      <c r="I35" s="1"/>
      <c r="J35" s="5"/>
      <c r="K35" s="5"/>
      <c r="L35" s="5"/>
      <c r="M35" s="5"/>
      <c r="N35" s="5"/>
      <c r="O35" s="5"/>
      <c r="P35" s="462">
        <v>1</v>
      </c>
      <c r="Q35" s="451"/>
      <c r="R35" s="462">
        <v>0.15620000000000001</v>
      </c>
      <c r="S35" s="451"/>
      <c r="T35" s="5"/>
      <c r="U35" s="16">
        <f t="shared" si="29"/>
        <v>37</v>
      </c>
      <c r="V35" s="9">
        <v>0.82</v>
      </c>
      <c r="W35" s="10">
        <v>0.88</v>
      </c>
      <c r="X35" s="9">
        <v>0.91</v>
      </c>
      <c r="Y35" s="16">
        <f t="shared" si="18"/>
        <v>98.600000000000009</v>
      </c>
      <c r="Z35" s="5"/>
      <c r="AA35" s="16">
        <v>800</v>
      </c>
      <c r="AB35" s="16">
        <f t="shared" si="30"/>
        <v>700.00099999999998</v>
      </c>
      <c r="AC35" s="91">
        <f t="shared" si="31"/>
        <v>800</v>
      </c>
      <c r="AE35" s="486"/>
      <c r="AF35" s="487"/>
      <c r="AP35" s="206"/>
      <c r="AQ35" s="206"/>
      <c r="AR35" s="206"/>
      <c r="AS35" s="206"/>
      <c r="AT35" s="206"/>
      <c r="AU35" s="206"/>
      <c r="AV35" s="206"/>
      <c r="AW35" s="206"/>
      <c r="AX35" s="206"/>
      <c r="AY35" s="206"/>
      <c r="AZ35" s="206"/>
      <c r="BK35" s="40" t="s">
        <v>211</v>
      </c>
      <c r="BL35" s="36" t="s">
        <v>212</v>
      </c>
      <c r="BM35" s="36">
        <v>6000</v>
      </c>
    </row>
    <row r="36" spans="6:65" ht="15" customHeight="1" x14ac:dyDescent="0.2">
      <c r="F36" s="1"/>
      <c r="G36" s="1"/>
      <c r="H36" s="1"/>
      <c r="I36" s="1"/>
      <c r="J36" s="5"/>
      <c r="K36" s="5"/>
      <c r="L36" s="5"/>
      <c r="M36" s="5"/>
      <c r="N36" s="5"/>
      <c r="O36" s="5"/>
      <c r="P36" s="448" t="s">
        <v>19</v>
      </c>
      <c r="Q36" s="449"/>
      <c r="R36" s="462">
        <v>0.1855</v>
      </c>
      <c r="S36" s="451"/>
      <c r="T36" s="5"/>
      <c r="U36" s="16">
        <f t="shared" si="29"/>
        <v>38</v>
      </c>
      <c r="V36" s="9">
        <v>0.82</v>
      </c>
      <c r="W36" s="10">
        <v>0.88</v>
      </c>
      <c r="X36" s="9">
        <v>0.91</v>
      </c>
      <c r="Y36" s="16">
        <f t="shared" si="18"/>
        <v>100.4</v>
      </c>
      <c r="Z36" s="5"/>
      <c r="AA36" s="16">
        <v>1000</v>
      </c>
      <c r="AB36" s="16">
        <f t="shared" si="30"/>
        <v>800.00099999999998</v>
      </c>
      <c r="AC36" s="91">
        <f t="shared" si="31"/>
        <v>1000</v>
      </c>
      <c r="AE36" s="486"/>
      <c r="AF36" s="487"/>
      <c r="AP36" s="206"/>
      <c r="AQ36" s="206"/>
      <c r="AR36" s="206"/>
      <c r="AS36" s="206"/>
      <c r="AT36" s="206"/>
      <c r="AU36" s="206"/>
      <c r="AV36" s="206"/>
      <c r="AW36" s="206"/>
      <c r="AX36" s="206"/>
      <c r="AY36" s="206"/>
      <c r="AZ36" s="206"/>
      <c r="BL36" s="29" t="s">
        <v>213</v>
      </c>
      <c r="BM36" s="29">
        <v>6000</v>
      </c>
    </row>
    <row r="37" spans="6:65" ht="15" customHeight="1" x14ac:dyDescent="0.2">
      <c r="F37" s="1"/>
      <c r="G37" s="1"/>
      <c r="H37" s="1"/>
      <c r="I37" s="1"/>
      <c r="J37" s="5"/>
      <c r="K37" s="5"/>
      <c r="L37" s="5"/>
      <c r="M37" s="5"/>
      <c r="N37" s="5"/>
      <c r="O37" s="5"/>
      <c r="P37" s="448" t="s">
        <v>29</v>
      </c>
      <c r="Q37" s="479"/>
      <c r="R37" s="462">
        <v>0.2223</v>
      </c>
      <c r="S37" s="451"/>
      <c r="T37" s="5"/>
      <c r="U37" s="16">
        <f t="shared" si="29"/>
        <v>39</v>
      </c>
      <c r="V37" s="9">
        <v>0.82</v>
      </c>
      <c r="W37" s="10">
        <v>0.88</v>
      </c>
      <c r="X37" s="9">
        <v>0.91</v>
      </c>
      <c r="Y37" s="16">
        <f t="shared" si="18"/>
        <v>102.2</v>
      </c>
      <c r="Z37" s="5"/>
      <c r="AA37" s="16">
        <v>1200</v>
      </c>
      <c r="AB37" s="16">
        <f t="shared" si="30"/>
        <v>1000.001</v>
      </c>
      <c r="AC37" s="91">
        <f t="shared" si="31"/>
        <v>1200</v>
      </c>
      <c r="AE37" s="486"/>
      <c r="AF37" s="487"/>
      <c r="AP37" s="206"/>
      <c r="AQ37" s="206"/>
      <c r="AR37" s="206"/>
      <c r="AS37" s="206"/>
      <c r="AT37" s="206"/>
      <c r="AU37" s="206"/>
      <c r="AV37" s="206"/>
      <c r="AW37" s="206"/>
      <c r="AX37" s="206"/>
      <c r="AY37" s="206"/>
      <c r="AZ37" s="206"/>
    </row>
    <row r="38" spans="6:65" ht="15" customHeight="1" x14ac:dyDescent="0.2">
      <c r="F38" s="1"/>
      <c r="G38" s="1"/>
      <c r="H38" s="1"/>
      <c r="I38" s="1"/>
      <c r="J38" s="5"/>
      <c r="K38" s="5"/>
      <c r="L38" s="5"/>
      <c r="M38" s="5"/>
      <c r="N38" s="5"/>
      <c r="O38" s="5"/>
      <c r="P38" s="448" t="s">
        <v>28</v>
      </c>
      <c r="Q38" s="479"/>
      <c r="R38" s="462">
        <v>0.26790000000000003</v>
      </c>
      <c r="S38" s="451"/>
      <c r="T38" s="5"/>
      <c r="U38" s="16">
        <f t="shared" si="29"/>
        <v>40</v>
      </c>
      <c r="V38" s="9">
        <v>0.82</v>
      </c>
      <c r="W38" s="10">
        <v>0.88</v>
      </c>
      <c r="X38" s="9">
        <v>0.91</v>
      </c>
      <c r="Y38" s="16">
        <f t="shared" si="18"/>
        <v>104</v>
      </c>
      <c r="Z38" s="5"/>
      <c r="AA38" s="16">
        <v>1600</v>
      </c>
      <c r="AB38" s="16">
        <f t="shared" si="30"/>
        <v>1200.001</v>
      </c>
      <c r="AC38" s="91">
        <f t="shared" si="31"/>
        <v>1600</v>
      </c>
      <c r="AE38" s="486"/>
      <c r="AF38" s="487"/>
      <c r="AP38" s="206"/>
      <c r="AQ38" s="206"/>
      <c r="AR38" s="206"/>
      <c r="AS38" s="206"/>
      <c r="AT38" s="206"/>
      <c r="AU38" s="206"/>
      <c r="AV38" s="206"/>
      <c r="AW38" s="206"/>
      <c r="AX38" s="206"/>
      <c r="AY38" s="206"/>
      <c r="AZ38" s="206"/>
      <c r="BK38" s="398" t="s">
        <v>182</v>
      </c>
      <c r="BL38" s="400"/>
      <c r="BM38" s="399"/>
    </row>
    <row r="39" spans="6:65" ht="15" customHeight="1" x14ac:dyDescent="0.2">
      <c r="F39" s="1"/>
      <c r="G39" s="1"/>
      <c r="H39" s="1"/>
      <c r="I39" s="1"/>
      <c r="J39" s="5"/>
      <c r="K39" s="5"/>
      <c r="L39" s="5"/>
      <c r="M39" s="5"/>
      <c r="N39" s="5"/>
      <c r="O39" s="5"/>
      <c r="P39" s="448" t="s">
        <v>27</v>
      </c>
      <c r="Q39" s="479"/>
      <c r="R39" s="462">
        <v>0.32369999999999999</v>
      </c>
      <c r="S39" s="451"/>
      <c r="T39" s="5"/>
      <c r="U39" s="16">
        <f t="shared" si="29"/>
        <v>41</v>
      </c>
      <c r="V39" s="9">
        <v>0.71</v>
      </c>
      <c r="W39" s="10">
        <v>0.82</v>
      </c>
      <c r="X39" s="9">
        <v>0.87</v>
      </c>
      <c r="Y39" s="16">
        <f t="shared" si="18"/>
        <v>105.8</v>
      </c>
      <c r="Z39" s="5"/>
      <c r="AA39" s="16">
        <v>2000</v>
      </c>
      <c r="AB39" s="16">
        <f t="shared" si="30"/>
        <v>1600.001</v>
      </c>
      <c r="AC39" s="91">
        <f t="shared" si="31"/>
        <v>2000</v>
      </c>
      <c r="AE39" s="486"/>
      <c r="AF39" s="487"/>
      <c r="AP39" s="206"/>
      <c r="AQ39" s="206"/>
      <c r="AR39" s="206"/>
      <c r="AS39" s="206"/>
      <c r="AT39" s="206"/>
      <c r="AU39" s="206"/>
      <c r="AV39" s="206"/>
      <c r="AW39" s="206"/>
      <c r="AX39" s="206"/>
      <c r="AY39" s="206"/>
      <c r="AZ39" s="206"/>
      <c r="BK39" s="426">
        <f>BH18</f>
        <v>15</v>
      </c>
      <c r="BL39" s="427"/>
      <c r="BM39" s="428"/>
    </row>
    <row r="40" spans="6:65" ht="15" customHeight="1" x14ac:dyDescent="0.2">
      <c r="F40" s="1"/>
      <c r="G40" s="1"/>
      <c r="H40" s="1"/>
      <c r="I40" s="1"/>
      <c r="J40" s="5"/>
      <c r="K40" s="5"/>
      <c r="L40" s="5"/>
      <c r="M40" s="5"/>
      <c r="N40" s="5"/>
      <c r="O40" s="5"/>
      <c r="P40" s="448" t="s">
        <v>30</v>
      </c>
      <c r="Q40" s="479"/>
      <c r="R40" s="462">
        <v>0.39700000000000002</v>
      </c>
      <c r="S40" s="451"/>
      <c r="T40" s="5"/>
      <c r="U40" s="16">
        <f t="shared" si="29"/>
        <v>42</v>
      </c>
      <c r="V40" s="9">
        <v>0.71</v>
      </c>
      <c r="W40" s="10">
        <v>0.82</v>
      </c>
      <c r="X40" s="9">
        <v>0.87</v>
      </c>
      <c r="Y40" s="16">
        <f t="shared" si="18"/>
        <v>107.60000000000001</v>
      </c>
      <c r="Z40" s="5"/>
      <c r="AA40" s="16">
        <v>2500</v>
      </c>
      <c r="AB40" s="16">
        <f t="shared" si="30"/>
        <v>2000.001</v>
      </c>
      <c r="AC40" s="91">
        <f t="shared" si="31"/>
        <v>2500</v>
      </c>
      <c r="AE40" s="488"/>
      <c r="AF40" s="489"/>
      <c r="AP40" s="206"/>
      <c r="AQ40" s="206"/>
      <c r="AR40" s="206"/>
      <c r="AS40" s="206"/>
      <c r="AT40" s="206"/>
      <c r="AU40" s="206"/>
      <c r="AV40" s="206"/>
      <c r="AW40" s="206"/>
      <c r="AX40" s="206"/>
      <c r="AY40" s="206"/>
      <c r="AZ40" s="206"/>
    </row>
    <row r="41" spans="6:65" ht="15" customHeight="1" x14ac:dyDescent="0.2">
      <c r="F41" s="1"/>
      <c r="G41" s="1"/>
      <c r="H41" s="1"/>
      <c r="I41" s="1"/>
      <c r="J41" s="5"/>
      <c r="K41" s="5"/>
      <c r="L41" s="5"/>
      <c r="M41" s="5"/>
      <c r="N41" s="5"/>
      <c r="O41" s="5"/>
      <c r="P41" s="448" t="s">
        <v>31</v>
      </c>
      <c r="Q41" s="479"/>
      <c r="R41" s="462">
        <v>0.46079999999999999</v>
      </c>
      <c r="S41" s="451"/>
      <c r="T41" s="5"/>
      <c r="U41" s="16">
        <f t="shared" si="29"/>
        <v>43</v>
      </c>
      <c r="V41" s="9">
        <v>0.71</v>
      </c>
      <c r="W41" s="10">
        <v>0.82</v>
      </c>
      <c r="X41" s="9">
        <v>0.87</v>
      </c>
      <c r="Y41" s="16">
        <f t="shared" si="18"/>
        <v>109.4</v>
      </c>
      <c r="Z41" s="5"/>
      <c r="AA41" s="16">
        <v>3000</v>
      </c>
      <c r="AB41" s="16">
        <f t="shared" si="30"/>
        <v>2500.0010000000002</v>
      </c>
      <c r="AC41" s="91">
        <f t="shared" si="31"/>
        <v>3000</v>
      </c>
      <c r="AP41" s="206"/>
      <c r="AQ41" s="206"/>
      <c r="AR41" s="206"/>
      <c r="AS41" s="206"/>
      <c r="AT41" s="206"/>
      <c r="AU41" s="206"/>
      <c r="AV41" s="206"/>
      <c r="AW41" s="206"/>
      <c r="AX41" s="206"/>
      <c r="AY41" s="206"/>
      <c r="AZ41" s="206"/>
      <c r="BK41" s="398" t="s">
        <v>191</v>
      </c>
      <c r="BL41" s="400"/>
      <c r="BM41" s="399"/>
    </row>
    <row r="42" spans="6:65" ht="15" customHeight="1" x14ac:dyDescent="0.2">
      <c r="F42" s="1"/>
      <c r="G42" s="1"/>
      <c r="H42" s="1"/>
      <c r="I42" s="1"/>
      <c r="J42" s="5"/>
      <c r="K42" s="5"/>
      <c r="L42" s="5"/>
      <c r="M42" s="5"/>
      <c r="N42" s="5"/>
      <c r="O42" s="5"/>
      <c r="P42" s="448" t="s">
        <v>32</v>
      </c>
      <c r="Q42" s="479"/>
      <c r="R42" s="462">
        <v>0.5242</v>
      </c>
      <c r="S42" s="451"/>
      <c r="T42" s="5"/>
      <c r="U42" s="16">
        <f t="shared" si="29"/>
        <v>44</v>
      </c>
      <c r="V42" s="9">
        <v>0.71</v>
      </c>
      <c r="W42" s="10">
        <v>0.82</v>
      </c>
      <c r="X42" s="9">
        <v>0.87</v>
      </c>
      <c r="Y42" s="16">
        <f t="shared" si="18"/>
        <v>111.2</v>
      </c>
      <c r="Z42" s="5"/>
      <c r="AA42" s="16">
        <v>4000</v>
      </c>
      <c r="AB42" s="16">
        <f t="shared" si="30"/>
        <v>3000.0010000000002</v>
      </c>
      <c r="AC42" s="91">
        <f t="shared" si="31"/>
        <v>4000</v>
      </c>
      <c r="AP42" s="206"/>
      <c r="AQ42" s="206"/>
      <c r="AR42" s="206"/>
      <c r="AS42" s="206"/>
      <c r="AT42" s="206"/>
      <c r="AU42" s="206"/>
      <c r="AV42" s="206"/>
      <c r="AW42" s="206"/>
      <c r="AX42" s="206"/>
      <c r="AY42" s="206"/>
      <c r="AZ42" s="206"/>
      <c r="BK42" s="426">
        <f>BL19</f>
        <v>12.5</v>
      </c>
      <c r="BL42" s="427"/>
      <c r="BM42" s="428"/>
    </row>
    <row r="43" spans="6:65" ht="15" customHeight="1" x14ac:dyDescent="0.2">
      <c r="F43" s="1"/>
      <c r="G43" s="1"/>
      <c r="H43" s="1"/>
      <c r="I43" s="1"/>
      <c r="J43" s="5"/>
      <c r="K43" s="5"/>
      <c r="L43" s="5"/>
      <c r="M43" s="5"/>
      <c r="N43" s="5"/>
      <c r="O43" s="5"/>
      <c r="P43" s="448" t="s">
        <v>33</v>
      </c>
      <c r="Q43" s="479"/>
      <c r="R43" s="462">
        <v>0.58630000000000004</v>
      </c>
      <c r="S43" s="451"/>
      <c r="T43" s="5"/>
      <c r="U43" s="16">
        <f t="shared" si="29"/>
        <v>45</v>
      </c>
      <c r="V43" s="9">
        <v>0.71</v>
      </c>
      <c r="W43" s="10">
        <v>0.82</v>
      </c>
      <c r="X43" s="9">
        <v>0.87</v>
      </c>
      <c r="Y43" s="16">
        <f t="shared" si="18"/>
        <v>113</v>
      </c>
      <c r="Z43" s="5"/>
      <c r="AA43" s="16">
        <v>5000</v>
      </c>
      <c r="AB43" s="16">
        <f t="shared" si="30"/>
        <v>4000.0010000000002</v>
      </c>
      <c r="AC43" s="91">
        <f t="shared" si="31"/>
        <v>5000</v>
      </c>
      <c r="AP43" s="206"/>
      <c r="AQ43" s="206"/>
      <c r="AR43" s="206"/>
      <c r="AS43" s="206"/>
      <c r="AT43" s="206"/>
      <c r="AU43" s="206"/>
      <c r="AV43" s="206"/>
      <c r="AW43" s="206"/>
      <c r="AX43" s="206"/>
      <c r="AY43" s="206"/>
      <c r="AZ43" s="206"/>
    </row>
    <row r="44" spans="6:65" ht="15" customHeight="1" x14ac:dyDescent="0.2">
      <c r="F44" s="1"/>
      <c r="G44" s="1"/>
      <c r="H44" s="1"/>
      <c r="I44" s="1"/>
      <c r="J44" s="5"/>
      <c r="K44" s="5"/>
      <c r="L44" s="5"/>
      <c r="M44" s="5"/>
      <c r="N44" s="5"/>
      <c r="O44" s="5"/>
      <c r="P44" s="448" t="s">
        <v>34</v>
      </c>
      <c r="Q44" s="479"/>
      <c r="R44" s="462">
        <v>0.70730000000000004</v>
      </c>
      <c r="S44" s="451"/>
      <c r="T44" s="5"/>
      <c r="U44" s="16">
        <f t="shared" si="29"/>
        <v>46</v>
      </c>
      <c r="V44" s="9">
        <v>0.57999999999999996</v>
      </c>
      <c r="W44" s="10">
        <v>0.75</v>
      </c>
      <c r="X44" s="9">
        <v>0.82</v>
      </c>
      <c r="Y44" s="16">
        <f t="shared" si="18"/>
        <v>114.8</v>
      </c>
      <c r="Z44" s="5"/>
      <c r="AA44" s="92">
        <v>6000</v>
      </c>
      <c r="AB44" s="92">
        <f t="shared" si="30"/>
        <v>5000.0010000000002</v>
      </c>
      <c r="AC44" s="98">
        <f t="shared" si="31"/>
        <v>6000</v>
      </c>
      <c r="AP44" s="206"/>
      <c r="AQ44" s="206"/>
      <c r="AR44" s="206"/>
      <c r="AS44" s="206"/>
      <c r="AT44" s="206"/>
      <c r="AU44" s="206"/>
      <c r="AV44" s="206"/>
      <c r="AW44" s="206"/>
      <c r="AX44" s="206"/>
      <c r="AY44" s="206"/>
      <c r="AZ44" s="206"/>
      <c r="BK44" s="398" t="s">
        <v>203</v>
      </c>
      <c r="BL44" s="400"/>
      <c r="BM44" s="399"/>
    </row>
    <row r="45" spans="6:65" ht="15" customHeight="1" x14ac:dyDescent="0.2">
      <c r="F45" s="1"/>
      <c r="G45" s="1"/>
      <c r="H45" s="1"/>
      <c r="I45" s="1"/>
      <c r="J45" s="5"/>
      <c r="K45" s="5"/>
      <c r="L45" s="5"/>
      <c r="M45" s="5"/>
      <c r="N45" s="5"/>
      <c r="O45" s="5"/>
      <c r="P45" s="448" t="s">
        <v>35</v>
      </c>
      <c r="Q45" s="479"/>
      <c r="R45" s="462">
        <v>0.86760000000000004</v>
      </c>
      <c r="S45" s="451"/>
      <c r="T45" s="5"/>
      <c r="U45" s="16">
        <f t="shared" si="29"/>
        <v>47</v>
      </c>
      <c r="V45" s="9">
        <v>0.57999999999999996</v>
      </c>
      <c r="W45" s="10">
        <v>0.75</v>
      </c>
      <c r="X45" s="9">
        <v>0.82</v>
      </c>
      <c r="Y45" s="16">
        <f t="shared" si="18"/>
        <v>116.60000000000001</v>
      </c>
      <c r="Z45" s="5"/>
      <c r="AC45" s="5"/>
      <c r="AP45" s="206"/>
      <c r="AQ45" s="206"/>
      <c r="AR45" s="206"/>
      <c r="AS45" s="206"/>
      <c r="AT45" s="206"/>
      <c r="AU45" s="206"/>
      <c r="AV45" s="206"/>
      <c r="AW45" s="206"/>
      <c r="AX45" s="206"/>
      <c r="AY45" s="206"/>
      <c r="AZ45" s="206"/>
      <c r="BK45" s="426">
        <f>BK42*1.25</f>
        <v>15.625</v>
      </c>
      <c r="BL45" s="427"/>
      <c r="BM45" s="428"/>
    </row>
    <row r="46" spans="6:65" ht="15" customHeight="1" x14ac:dyDescent="0.2">
      <c r="F46" s="1"/>
      <c r="G46" s="1"/>
      <c r="H46" s="1"/>
      <c r="I46" s="1"/>
      <c r="J46" s="5"/>
      <c r="K46" s="5"/>
      <c r="L46" s="5"/>
      <c r="M46" s="5"/>
      <c r="N46" s="5"/>
      <c r="O46" s="5"/>
      <c r="P46" s="448" t="s">
        <v>36</v>
      </c>
      <c r="Q46" s="479"/>
      <c r="R46" s="462">
        <v>0.98870000000000002</v>
      </c>
      <c r="S46" s="451"/>
      <c r="T46" s="5"/>
      <c r="U46" s="16">
        <f t="shared" si="29"/>
        <v>48</v>
      </c>
      <c r="V46" s="9">
        <v>0.57999999999999996</v>
      </c>
      <c r="W46" s="10">
        <v>0.75</v>
      </c>
      <c r="X46" s="9">
        <v>0.82</v>
      </c>
      <c r="Y46" s="16">
        <f t="shared" si="18"/>
        <v>118.4</v>
      </c>
      <c r="Z46" s="5"/>
      <c r="AC46" s="5"/>
      <c r="AP46" s="206"/>
      <c r="AQ46" s="206"/>
      <c r="AR46" s="206"/>
      <c r="AS46" s="206"/>
      <c r="AT46" s="206"/>
      <c r="AU46" s="206"/>
      <c r="AV46" s="206"/>
      <c r="AW46" s="206"/>
      <c r="AX46" s="206"/>
      <c r="AY46" s="206"/>
      <c r="AZ46" s="206"/>
    </row>
    <row r="47" spans="6:65" ht="15" customHeight="1" x14ac:dyDescent="0.2">
      <c r="F47" s="1"/>
      <c r="G47" s="1"/>
      <c r="H47" s="1"/>
      <c r="I47" s="1"/>
      <c r="J47" s="5"/>
      <c r="K47" s="5"/>
      <c r="L47" s="5"/>
      <c r="M47" s="5"/>
      <c r="N47" s="5"/>
      <c r="O47" s="5"/>
      <c r="P47" s="448" t="s">
        <v>37</v>
      </c>
      <c r="Q47" s="479"/>
      <c r="R47" s="462">
        <v>1.0496000000000001</v>
      </c>
      <c r="S47" s="451"/>
      <c r="T47" s="5"/>
      <c r="U47" s="16">
        <f t="shared" si="29"/>
        <v>49</v>
      </c>
      <c r="V47" s="9">
        <v>0.57999999999999996</v>
      </c>
      <c r="W47" s="10">
        <v>0.75</v>
      </c>
      <c r="X47" s="9">
        <v>0.82</v>
      </c>
      <c r="Y47" s="16">
        <f t="shared" si="18"/>
        <v>120.2</v>
      </c>
      <c r="Z47" s="5"/>
      <c r="AA47" s="59"/>
      <c r="AB47" s="59"/>
      <c r="AC47" s="59"/>
      <c r="AP47" s="206"/>
      <c r="AQ47" s="206"/>
      <c r="AR47" s="206"/>
      <c r="AS47" s="206"/>
      <c r="AT47" s="206"/>
      <c r="AU47" s="206"/>
      <c r="AV47" s="206"/>
      <c r="AW47" s="206"/>
      <c r="AX47" s="206"/>
      <c r="AY47" s="206"/>
      <c r="AZ47" s="206"/>
    </row>
    <row r="48" spans="6:65" ht="15" customHeight="1" x14ac:dyDescent="0.2">
      <c r="F48" s="1"/>
      <c r="G48" s="1"/>
      <c r="H48" s="1"/>
      <c r="I48" s="1"/>
      <c r="J48" s="5"/>
      <c r="K48" s="5"/>
      <c r="L48" s="5"/>
      <c r="M48" s="5"/>
      <c r="N48" s="5"/>
      <c r="O48" s="5"/>
      <c r="P48" s="448" t="s">
        <v>38</v>
      </c>
      <c r="Q48" s="479"/>
      <c r="R48" s="462">
        <v>1.1085</v>
      </c>
      <c r="S48" s="451"/>
      <c r="T48" s="5"/>
      <c r="U48" s="16">
        <f t="shared" si="29"/>
        <v>50</v>
      </c>
      <c r="V48" s="9">
        <v>0.57999999999999996</v>
      </c>
      <c r="W48" s="10">
        <v>0.75</v>
      </c>
      <c r="X48" s="9">
        <v>0.82</v>
      </c>
      <c r="Y48" s="16">
        <f t="shared" si="18"/>
        <v>122</v>
      </c>
      <c r="Z48" s="5"/>
      <c r="AC48" s="4"/>
      <c r="AP48" s="206"/>
      <c r="AQ48" s="206"/>
      <c r="AR48" s="206"/>
      <c r="AS48" s="206"/>
      <c r="AT48" s="206"/>
      <c r="AU48" s="206"/>
      <c r="AV48" s="206"/>
      <c r="AW48" s="206"/>
      <c r="AX48" s="206"/>
      <c r="AY48" s="206"/>
      <c r="AZ48" s="206"/>
    </row>
    <row r="49" spans="6:52" ht="15" customHeight="1" x14ac:dyDescent="0.2">
      <c r="F49" s="1"/>
      <c r="G49" s="1"/>
      <c r="H49" s="1"/>
      <c r="I49" s="1"/>
      <c r="J49" s="5"/>
      <c r="K49" s="5"/>
      <c r="L49" s="5"/>
      <c r="M49" s="5"/>
      <c r="N49" s="5"/>
      <c r="O49" s="5"/>
      <c r="P49" s="448" t="s">
        <v>39</v>
      </c>
      <c r="Q49" s="479"/>
      <c r="R49" s="462">
        <v>1.2311000000000001</v>
      </c>
      <c r="S49" s="451"/>
      <c r="T49" s="5"/>
      <c r="U49" s="16">
        <f t="shared" si="29"/>
        <v>51</v>
      </c>
      <c r="V49" s="9">
        <v>0.41</v>
      </c>
      <c r="W49" s="10">
        <v>0.67</v>
      </c>
      <c r="X49" s="9">
        <v>0.76</v>
      </c>
      <c r="Y49" s="16">
        <f t="shared" si="18"/>
        <v>123.8</v>
      </c>
      <c r="Z49" s="5"/>
      <c r="AA49" s="483" t="s">
        <v>277</v>
      </c>
      <c r="AB49" s="483"/>
      <c r="AC49" s="483"/>
      <c r="AP49" s="206"/>
      <c r="AQ49" s="206"/>
      <c r="AR49" s="206"/>
      <c r="AS49" s="206"/>
      <c r="AT49" s="206"/>
      <c r="AU49" s="206"/>
      <c r="AV49" s="206"/>
      <c r="AW49" s="206"/>
      <c r="AX49" s="206"/>
      <c r="AY49" s="206"/>
      <c r="AZ49" s="206"/>
    </row>
    <row r="50" spans="6:52" ht="15" customHeight="1" x14ac:dyDescent="0.2">
      <c r="F50" s="1"/>
      <c r="G50" s="1"/>
      <c r="H50" s="1"/>
      <c r="I50" s="1"/>
      <c r="J50" s="5"/>
      <c r="K50" s="5"/>
      <c r="L50" s="5"/>
      <c r="M50" s="5"/>
      <c r="N50" s="5"/>
      <c r="O50" s="5"/>
      <c r="P50" s="484" t="s">
        <v>40</v>
      </c>
      <c r="Q50" s="485"/>
      <c r="R50" s="480">
        <v>1.3478000000000001</v>
      </c>
      <c r="S50" s="481"/>
      <c r="T50" s="5"/>
      <c r="U50" s="16">
        <f t="shared" si="29"/>
        <v>52</v>
      </c>
      <c r="V50" s="9">
        <v>0.41</v>
      </c>
      <c r="W50" s="10">
        <v>0.67</v>
      </c>
      <c r="X50" s="9">
        <v>0.76</v>
      </c>
      <c r="Y50" s="16">
        <f t="shared" si="18"/>
        <v>125.60000000000001</v>
      </c>
      <c r="Z50" s="5"/>
      <c r="AA50" s="483"/>
      <c r="AB50" s="483"/>
      <c r="AC50" s="483"/>
      <c r="AP50" s="206"/>
      <c r="AQ50" s="206"/>
      <c r="AR50" s="206"/>
      <c r="AS50" s="206"/>
      <c r="AT50" s="206"/>
      <c r="AU50" s="206"/>
      <c r="AV50" s="206"/>
      <c r="AW50" s="206"/>
      <c r="AX50" s="206"/>
      <c r="AY50" s="206"/>
      <c r="AZ50" s="206"/>
    </row>
    <row r="51" spans="6:52" ht="15" customHeight="1" x14ac:dyDescent="0.2">
      <c r="F51" s="1"/>
      <c r="G51" s="1"/>
      <c r="H51" s="1"/>
      <c r="I51" s="1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16">
        <f t="shared" si="29"/>
        <v>53</v>
      </c>
      <c r="V51" s="9">
        <v>0.41</v>
      </c>
      <c r="W51" s="10">
        <v>0.67</v>
      </c>
      <c r="X51" s="9">
        <v>0.76</v>
      </c>
      <c r="Y51" s="16">
        <f t="shared" si="18"/>
        <v>127.4</v>
      </c>
      <c r="Z51" s="5"/>
      <c r="AA51" s="13" t="s">
        <v>67</v>
      </c>
      <c r="AB51" s="13" t="s">
        <v>54</v>
      </c>
      <c r="AC51" s="57" t="s">
        <v>90</v>
      </c>
    </row>
    <row r="52" spans="6:52" ht="15" customHeight="1" x14ac:dyDescent="0.2">
      <c r="F52" s="1"/>
      <c r="G52" s="1"/>
      <c r="H52" s="1"/>
      <c r="I52" s="1"/>
      <c r="J52" s="5"/>
      <c r="K52" s="5"/>
      <c r="L52" s="5"/>
      <c r="M52" s="5"/>
      <c r="N52" s="5"/>
      <c r="O52" s="5"/>
      <c r="P52" s="478" t="s">
        <v>41</v>
      </c>
      <c r="Q52" s="478"/>
      <c r="R52" s="478"/>
      <c r="S52" s="478"/>
      <c r="T52" s="5"/>
      <c r="U52" s="16">
        <f t="shared" si="29"/>
        <v>54</v>
      </c>
      <c r="V52" s="9">
        <v>0.41</v>
      </c>
      <c r="W52" s="10">
        <v>0.67</v>
      </c>
      <c r="X52" s="9">
        <v>0.76</v>
      </c>
      <c r="Y52" s="16">
        <f t="shared" si="18"/>
        <v>129.19999999999999</v>
      </c>
      <c r="Z52" s="5"/>
      <c r="AA52" s="15">
        <v>30</v>
      </c>
      <c r="AB52" s="15">
        <v>1</v>
      </c>
      <c r="AC52" s="99">
        <v>29.998999999999999</v>
      </c>
    </row>
    <row r="53" spans="6:52" ht="15" customHeight="1" x14ac:dyDescent="0.2">
      <c r="F53" s="1"/>
      <c r="G53" s="1"/>
      <c r="H53" s="1"/>
      <c r="I53" s="1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16">
        <f t="shared" si="29"/>
        <v>55</v>
      </c>
      <c r="V53" s="9">
        <v>0.41</v>
      </c>
      <c r="W53" s="10">
        <v>0.67</v>
      </c>
      <c r="X53" s="9">
        <v>0.76</v>
      </c>
      <c r="Y53" s="16">
        <f t="shared" si="18"/>
        <v>131</v>
      </c>
      <c r="Z53" s="5"/>
      <c r="AA53" s="16">
        <v>60</v>
      </c>
      <c r="AB53" s="16">
        <f>AC52+0.001</f>
        <v>30</v>
      </c>
      <c r="AC53" s="91">
        <v>59.999000000000002</v>
      </c>
    </row>
    <row r="54" spans="6:52" ht="15" customHeight="1" x14ac:dyDescent="0.2">
      <c r="F54" s="1"/>
      <c r="G54" s="1"/>
      <c r="H54" s="1"/>
      <c r="I54" s="1"/>
      <c r="J54" s="5"/>
      <c r="K54" s="5"/>
      <c r="L54" s="5"/>
      <c r="M54" s="5"/>
      <c r="N54" s="5"/>
      <c r="O54" s="5"/>
      <c r="P54" s="472" t="s">
        <v>42</v>
      </c>
      <c r="Q54" s="473"/>
      <c r="R54" s="473"/>
      <c r="S54" s="474"/>
      <c r="T54" s="5"/>
      <c r="U54" s="16">
        <f t="shared" si="29"/>
        <v>56</v>
      </c>
      <c r="V54" s="9" t="s">
        <v>51</v>
      </c>
      <c r="W54" s="10">
        <v>0.57999999999999996</v>
      </c>
      <c r="X54" s="9">
        <v>0.71</v>
      </c>
      <c r="Y54" s="16">
        <f t="shared" si="18"/>
        <v>132.80000000000001</v>
      </c>
      <c r="Z54" s="5"/>
      <c r="AA54" s="16">
        <v>100</v>
      </c>
      <c r="AB54" s="16">
        <f t="shared" ref="AB54:AB58" si="32">AC53+0.001</f>
        <v>60</v>
      </c>
      <c r="AC54" s="91">
        <v>99.998999999999995</v>
      </c>
    </row>
    <row r="55" spans="6:52" ht="15" customHeight="1" x14ac:dyDescent="0.2">
      <c r="F55" s="1"/>
      <c r="G55" s="1"/>
      <c r="H55" s="1"/>
      <c r="I55" s="1"/>
      <c r="J55" s="5"/>
      <c r="K55" s="5"/>
      <c r="L55" s="5"/>
      <c r="M55" s="5"/>
      <c r="N55" s="5"/>
      <c r="O55" s="5"/>
      <c r="P55" s="475"/>
      <c r="Q55" s="476"/>
      <c r="R55" s="476"/>
      <c r="S55" s="477"/>
      <c r="T55" s="5"/>
      <c r="U55" s="16">
        <f t="shared" si="29"/>
        <v>57</v>
      </c>
      <c r="V55" s="9" t="s">
        <v>51</v>
      </c>
      <c r="W55" s="10">
        <v>0.57999999999999996</v>
      </c>
      <c r="X55" s="9">
        <v>0.71</v>
      </c>
      <c r="Y55" s="16">
        <f t="shared" si="18"/>
        <v>134.60000000000002</v>
      </c>
      <c r="Z55" s="5"/>
      <c r="AA55" s="16">
        <v>200</v>
      </c>
      <c r="AB55" s="16">
        <f t="shared" si="32"/>
        <v>100</v>
      </c>
      <c r="AC55" s="91">
        <v>199.999</v>
      </c>
    </row>
    <row r="56" spans="6:52" ht="15" customHeight="1" x14ac:dyDescent="0.2">
      <c r="F56" s="1"/>
      <c r="G56" s="1"/>
      <c r="H56" s="1"/>
      <c r="I56" s="1"/>
      <c r="J56" s="5"/>
      <c r="K56" s="5"/>
      <c r="L56" s="5"/>
      <c r="M56" s="5"/>
      <c r="N56" s="5"/>
      <c r="O56" s="5"/>
      <c r="P56" s="471" t="s">
        <v>43</v>
      </c>
      <c r="Q56" s="471"/>
      <c r="R56" s="57" t="s">
        <v>25</v>
      </c>
      <c r="S56" s="6">
        <v>0.4</v>
      </c>
      <c r="T56" s="5"/>
      <c r="U56" s="16">
        <f t="shared" si="29"/>
        <v>58</v>
      </c>
      <c r="V56" s="9" t="s">
        <v>51</v>
      </c>
      <c r="W56" s="10">
        <v>0.57999999999999996</v>
      </c>
      <c r="X56" s="9">
        <v>0.71</v>
      </c>
      <c r="Y56" s="16">
        <f t="shared" si="18"/>
        <v>136.4</v>
      </c>
      <c r="Z56" s="5"/>
      <c r="AA56" s="16">
        <v>400</v>
      </c>
      <c r="AB56" s="16">
        <f t="shared" si="32"/>
        <v>200</v>
      </c>
      <c r="AC56" s="91">
        <v>399.99900000000002</v>
      </c>
    </row>
    <row r="57" spans="6:52" ht="15" customHeight="1" x14ac:dyDescent="0.2">
      <c r="F57" s="1"/>
      <c r="G57" s="1"/>
      <c r="H57" s="1"/>
      <c r="I57" s="1"/>
      <c r="J57" s="5"/>
      <c r="K57" s="5"/>
      <c r="L57" s="5"/>
      <c r="M57" s="5"/>
      <c r="N57" s="5"/>
      <c r="O57" s="5"/>
      <c r="P57" s="469">
        <v>0.75</v>
      </c>
      <c r="Q57" s="470"/>
      <c r="R57" s="15">
        <v>0.30399999999999999</v>
      </c>
      <c r="S57" s="99">
        <v>0.122</v>
      </c>
      <c r="T57" s="5"/>
      <c r="U57" s="16">
        <f t="shared" si="29"/>
        <v>59</v>
      </c>
      <c r="V57" s="9" t="s">
        <v>51</v>
      </c>
      <c r="W57" s="10">
        <v>0.57999999999999996</v>
      </c>
      <c r="X57" s="9">
        <v>0.71</v>
      </c>
      <c r="Y57" s="16">
        <f t="shared" si="18"/>
        <v>138.19999999999999</v>
      </c>
      <c r="Z57" s="5"/>
      <c r="AA57" s="16">
        <v>600</v>
      </c>
      <c r="AB57" s="16">
        <f t="shared" si="32"/>
        <v>400</v>
      </c>
      <c r="AC57" s="91">
        <v>599.99900000000002</v>
      </c>
    </row>
    <row r="58" spans="6:52" ht="15" customHeight="1" x14ac:dyDescent="0.2">
      <c r="F58" s="1"/>
      <c r="G58" s="1"/>
      <c r="H58" s="1"/>
      <c r="I58" s="1"/>
      <c r="J58" s="5"/>
      <c r="K58" s="5"/>
      <c r="L58" s="5"/>
      <c r="M58" s="5"/>
      <c r="N58" s="5"/>
      <c r="O58" s="5"/>
      <c r="P58" s="462">
        <v>0.75</v>
      </c>
      <c r="Q58" s="451"/>
      <c r="R58" s="16">
        <v>0.53300000000000003</v>
      </c>
      <c r="S58" s="91">
        <v>0.21299999999999999</v>
      </c>
      <c r="T58" s="5"/>
      <c r="U58" s="16">
        <f t="shared" si="29"/>
        <v>60</v>
      </c>
      <c r="V58" s="9" t="s">
        <v>51</v>
      </c>
      <c r="W58" s="10">
        <v>0.57999999999999996</v>
      </c>
      <c r="X58" s="9">
        <v>0.71</v>
      </c>
      <c r="Y58" s="16">
        <f t="shared" si="18"/>
        <v>140</v>
      </c>
      <c r="Z58" s="5"/>
      <c r="AA58" s="92">
        <v>800</v>
      </c>
      <c r="AB58" s="92">
        <f t="shared" si="32"/>
        <v>600</v>
      </c>
      <c r="AC58" s="98">
        <v>799.99900000000002</v>
      </c>
    </row>
    <row r="59" spans="6:52" ht="15" customHeight="1" x14ac:dyDescent="0.2">
      <c r="F59" s="1"/>
      <c r="G59" s="1"/>
      <c r="H59" s="1"/>
      <c r="I59" s="1"/>
      <c r="J59" s="5"/>
      <c r="K59" s="5"/>
      <c r="L59" s="5"/>
      <c r="M59" s="5"/>
      <c r="N59" s="5"/>
      <c r="O59" s="5"/>
      <c r="P59" s="462">
        <v>1</v>
      </c>
      <c r="Q59" s="451"/>
      <c r="R59" s="16">
        <v>0.86399999999999999</v>
      </c>
      <c r="S59" s="91">
        <v>0.34599999999999997</v>
      </c>
      <c r="T59" s="5"/>
      <c r="U59" s="16">
        <f t="shared" si="29"/>
        <v>61</v>
      </c>
      <c r="V59" s="9" t="s">
        <v>51</v>
      </c>
      <c r="W59" s="10">
        <v>0.47</v>
      </c>
      <c r="X59" s="9">
        <v>0.65</v>
      </c>
      <c r="Y59" s="16">
        <f t="shared" si="18"/>
        <v>141.80000000000001</v>
      </c>
      <c r="Z59" s="5"/>
      <c r="AC59" s="5"/>
    </row>
    <row r="60" spans="6:52" ht="15" customHeight="1" x14ac:dyDescent="0.2">
      <c r="F60" s="1"/>
      <c r="G60" s="1"/>
      <c r="H60" s="1"/>
      <c r="I60" s="1"/>
      <c r="J60" s="5"/>
      <c r="K60" s="5"/>
      <c r="L60" s="5"/>
      <c r="M60" s="5"/>
      <c r="N60" s="5"/>
      <c r="O60" s="5"/>
      <c r="P60" s="462">
        <v>1.25</v>
      </c>
      <c r="Q60" s="451"/>
      <c r="R60" s="16">
        <v>1.496</v>
      </c>
      <c r="S60" s="91">
        <v>0.59799999999999998</v>
      </c>
      <c r="T60" s="5"/>
      <c r="U60" s="16">
        <f t="shared" si="29"/>
        <v>62</v>
      </c>
      <c r="V60" s="9" t="s">
        <v>51</v>
      </c>
      <c r="W60" s="10">
        <v>0.47</v>
      </c>
      <c r="X60" s="9">
        <v>0.65</v>
      </c>
      <c r="Y60" s="16">
        <f t="shared" si="18"/>
        <v>143.60000000000002</v>
      </c>
      <c r="Z60" s="5"/>
      <c r="AC60" s="5"/>
    </row>
    <row r="61" spans="6:52" ht="15" customHeight="1" x14ac:dyDescent="0.2">
      <c r="F61" s="1"/>
      <c r="G61" s="1"/>
      <c r="H61" s="1"/>
      <c r="I61" s="1"/>
      <c r="J61" s="5"/>
      <c r="K61" s="5"/>
      <c r="L61" s="5"/>
      <c r="M61" s="5"/>
      <c r="N61" s="5"/>
      <c r="O61" s="5"/>
      <c r="P61" s="462">
        <v>1.5</v>
      </c>
      <c r="Q61" s="451"/>
      <c r="R61" s="16">
        <v>2.036</v>
      </c>
      <c r="S61" s="91">
        <v>0.81399999999999995</v>
      </c>
      <c r="T61" s="5"/>
      <c r="U61" s="16">
        <f t="shared" si="29"/>
        <v>63</v>
      </c>
      <c r="V61" s="9" t="s">
        <v>51</v>
      </c>
      <c r="W61" s="10">
        <v>0.47</v>
      </c>
      <c r="X61" s="9">
        <v>0.65</v>
      </c>
      <c r="Y61" s="16">
        <f t="shared" si="18"/>
        <v>145.4</v>
      </c>
      <c r="Z61" s="5"/>
      <c r="AC61" s="5"/>
    </row>
    <row r="62" spans="6:52" ht="15" customHeight="1" x14ac:dyDescent="0.2">
      <c r="F62" s="1"/>
      <c r="G62" s="1"/>
      <c r="H62" s="1"/>
      <c r="I62" s="1"/>
      <c r="J62" s="5"/>
      <c r="K62" s="5"/>
      <c r="L62" s="5"/>
      <c r="M62" s="5"/>
      <c r="N62" s="5"/>
      <c r="O62" s="5"/>
      <c r="P62" s="462">
        <v>2</v>
      </c>
      <c r="Q62" s="451"/>
      <c r="R62" s="16">
        <v>3.3559999999999999</v>
      </c>
      <c r="S62" s="91">
        <v>1.3420000000000001</v>
      </c>
      <c r="T62" s="5"/>
      <c r="U62" s="16">
        <f t="shared" si="29"/>
        <v>64</v>
      </c>
      <c r="V62" s="9" t="s">
        <v>51</v>
      </c>
      <c r="W62" s="10">
        <v>0.47</v>
      </c>
      <c r="X62" s="9">
        <v>0.65</v>
      </c>
      <c r="Y62" s="16">
        <f t="shared" si="18"/>
        <v>147.19999999999999</v>
      </c>
      <c r="Z62" s="5"/>
      <c r="AC62" s="5"/>
    </row>
    <row r="63" spans="6:52" ht="15" customHeight="1" x14ac:dyDescent="0.2">
      <c r="F63" s="1"/>
      <c r="G63" s="1"/>
      <c r="H63" s="1"/>
      <c r="I63" s="1"/>
      <c r="J63" s="5"/>
      <c r="K63" s="5"/>
      <c r="L63" s="5"/>
      <c r="M63" s="5"/>
      <c r="N63" s="5"/>
      <c r="O63" s="5"/>
      <c r="P63" s="462">
        <v>2.5</v>
      </c>
      <c r="Q63" s="451"/>
      <c r="R63" s="16">
        <v>5.8579999999999997</v>
      </c>
      <c r="S63" s="91">
        <v>2.343</v>
      </c>
      <c r="T63" s="5"/>
      <c r="U63" s="16">
        <f t="shared" si="29"/>
        <v>65</v>
      </c>
      <c r="V63" s="9" t="s">
        <v>51</v>
      </c>
      <c r="W63" s="10">
        <v>0.47</v>
      </c>
      <c r="X63" s="9">
        <v>0.65</v>
      </c>
      <c r="Y63" s="16">
        <f t="shared" si="18"/>
        <v>149</v>
      </c>
      <c r="Z63" s="5"/>
      <c r="AC63" s="5"/>
    </row>
    <row r="64" spans="6:52" ht="15" customHeight="1" x14ac:dyDescent="0.2">
      <c r="F64" s="1"/>
      <c r="G64" s="1"/>
      <c r="H64" s="1"/>
      <c r="I64" s="1"/>
      <c r="J64" s="5"/>
      <c r="K64" s="5"/>
      <c r="L64" s="5"/>
      <c r="M64" s="5"/>
      <c r="N64" s="5"/>
      <c r="O64" s="5"/>
      <c r="P64" s="462">
        <v>3</v>
      </c>
      <c r="Q64" s="451"/>
      <c r="R64" s="16">
        <v>8.8460000000000001</v>
      </c>
      <c r="S64" s="91">
        <v>3.5379999999999998</v>
      </c>
      <c r="T64" s="5"/>
      <c r="U64" s="16">
        <f t="shared" si="29"/>
        <v>66</v>
      </c>
      <c r="V64" s="9" t="s">
        <v>51</v>
      </c>
      <c r="W64" s="10">
        <v>0.33</v>
      </c>
      <c r="X64" s="9">
        <v>0.57999999999999996</v>
      </c>
      <c r="Y64" s="16">
        <f t="shared" si="18"/>
        <v>150.80000000000001</v>
      </c>
      <c r="Z64" s="5"/>
      <c r="AC64" s="5"/>
    </row>
    <row r="65" spans="6:29" ht="15" customHeight="1" x14ac:dyDescent="0.2">
      <c r="F65" s="1"/>
      <c r="G65" s="1"/>
      <c r="H65" s="1"/>
      <c r="I65" s="1"/>
      <c r="J65" s="5"/>
      <c r="K65" s="5"/>
      <c r="L65" s="5"/>
      <c r="M65" s="5"/>
      <c r="N65" s="5"/>
      <c r="O65" s="5"/>
      <c r="P65" s="462">
        <v>3.5</v>
      </c>
      <c r="Q65" s="451"/>
      <c r="R65" s="16">
        <v>11.545</v>
      </c>
      <c r="S65" s="91">
        <v>4.6180000000000003</v>
      </c>
      <c r="T65" s="5"/>
      <c r="U65" s="16">
        <f t="shared" si="29"/>
        <v>67</v>
      </c>
      <c r="V65" s="9" t="s">
        <v>51</v>
      </c>
      <c r="W65" s="10">
        <v>0.33</v>
      </c>
      <c r="X65" s="9">
        <v>0.57999999999999996</v>
      </c>
      <c r="Y65" s="16">
        <f t="shared" si="18"/>
        <v>152.60000000000002</v>
      </c>
      <c r="Z65" s="5"/>
      <c r="AC65" s="5"/>
    </row>
    <row r="66" spans="6:29" ht="15" customHeight="1" x14ac:dyDescent="0.2">
      <c r="F66" s="1"/>
      <c r="G66" s="1"/>
      <c r="H66" s="1"/>
      <c r="I66" s="1"/>
      <c r="J66" s="5"/>
      <c r="K66" s="5"/>
      <c r="L66" s="5"/>
      <c r="M66" s="5"/>
      <c r="N66" s="5"/>
      <c r="O66" s="5"/>
      <c r="P66" s="480">
        <v>4</v>
      </c>
      <c r="Q66" s="481"/>
      <c r="R66" s="92">
        <v>14.753</v>
      </c>
      <c r="S66" s="98">
        <v>5.9009999999999998</v>
      </c>
      <c r="T66" s="5"/>
      <c r="U66" s="16">
        <f t="shared" si="29"/>
        <v>68</v>
      </c>
      <c r="V66" s="9" t="s">
        <v>51</v>
      </c>
      <c r="W66" s="10">
        <v>0.33</v>
      </c>
      <c r="X66" s="9">
        <v>0.57999999999999996</v>
      </c>
      <c r="Y66" s="16">
        <f t="shared" si="18"/>
        <v>154.4</v>
      </c>
      <c r="Z66" s="5"/>
      <c r="AC66" s="5"/>
    </row>
    <row r="67" spans="6:29" ht="15" customHeight="1" x14ac:dyDescent="0.2">
      <c r="F67" s="1"/>
      <c r="G67" s="1"/>
      <c r="H67" s="1"/>
      <c r="I67" s="1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16">
        <f t="shared" si="29"/>
        <v>69</v>
      </c>
      <c r="V67" s="9" t="s">
        <v>51</v>
      </c>
      <c r="W67" s="10">
        <v>0.33</v>
      </c>
      <c r="X67" s="9">
        <v>0.57999999999999996</v>
      </c>
      <c r="Y67" s="16">
        <f t="shared" si="18"/>
        <v>156.19999999999999</v>
      </c>
      <c r="Z67" s="5"/>
      <c r="AC67" s="5"/>
    </row>
    <row r="68" spans="6:29" ht="15" customHeight="1" x14ac:dyDescent="0.2">
      <c r="F68" s="1"/>
      <c r="G68" s="1"/>
      <c r="L68" s="5"/>
      <c r="M68" s="5"/>
      <c r="N68" s="5"/>
      <c r="O68" s="5"/>
      <c r="P68" s="472" t="s">
        <v>42</v>
      </c>
      <c r="Q68" s="473"/>
      <c r="R68" s="473"/>
      <c r="S68" s="474"/>
      <c r="T68" s="5"/>
      <c r="U68" s="16">
        <f t="shared" si="29"/>
        <v>70</v>
      </c>
      <c r="V68" s="9" t="s">
        <v>51</v>
      </c>
      <c r="W68" s="10">
        <v>0.33</v>
      </c>
      <c r="X68" s="9">
        <v>0.57999999999999996</v>
      </c>
      <c r="Y68" s="16">
        <f t="shared" si="18"/>
        <v>158</v>
      </c>
      <c r="Z68" s="5"/>
      <c r="AC68" s="5"/>
    </row>
    <row r="69" spans="6:29" ht="15" customHeight="1" x14ac:dyDescent="0.2">
      <c r="F69" s="1"/>
      <c r="G69" s="1"/>
      <c r="L69" s="5"/>
      <c r="M69" s="5"/>
      <c r="N69" s="5"/>
      <c r="O69" s="5"/>
      <c r="P69" s="475"/>
      <c r="Q69" s="476"/>
      <c r="R69" s="476"/>
      <c r="S69" s="477"/>
      <c r="T69" s="5"/>
      <c r="U69" s="16">
        <f t="shared" si="29"/>
        <v>71</v>
      </c>
      <c r="V69" s="9" t="s">
        <v>51</v>
      </c>
      <c r="W69" s="10" t="s">
        <v>51</v>
      </c>
      <c r="X69" s="9">
        <v>0.5</v>
      </c>
      <c r="Y69" s="16">
        <f t="shared" si="18"/>
        <v>159.80000000000001</v>
      </c>
      <c r="Z69" s="5"/>
      <c r="AC69" s="5"/>
    </row>
    <row r="70" spans="6:29" ht="15" customHeight="1" x14ac:dyDescent="0.2">
      <c r="F70" s="1"/>
      <c r="G70" s="1"/>
      <c r="L70" s="5"/>
      <c r="M70" s="5"/>
      <c r="N70" s="5"/>
      <c r="O70" s="5"/>
      <c r="P70" s="471" t="s">
        <v>43</v>
      </c>
      <c r="Q70" s="471"/>
      <c r="R70" s="57" t="s">
        <v>77</v>
      </c>
      <c r="S70" s="6" t="s">
        <v>76</v>
      </c>
      <c r="T70" s="5"/>
      <c r="U70" s="16">
        <f t="shared" si="29"/>
        <v>72</v>
      </c>
      <c r="V70" s="9" t="s">
        <v>51</v>
      </c>
      <c r="W70" s="10" t="s">
        <v>51</v>
      </c>
      <c r="X70" s="9">
        <v>0.5</v>
      </c>
      <c r="Y70" s="16">
        <f t="shared" si="18"/>
        <v>161.6</v>
      </c>
      <c r="Z70" s="5"/>
      <c r="AC70" s="5"/>
    </row>
    <row r="71" spans="6:29" ht="15" customHeight="1" x14ac:dyDescent="0.2">
      <c r="F71" s="1"/>
      <c r="G71" s="1"/>
      <c r="L71" s="5"/>
      <c r="M71" s="5"/>
      <c r="N71" s="5"/>
      <c r="O71" s="5"/>
      <c r="Q71" s="303">
        <v>0.75</v>
      </c>
      <c r="R71" s="15">
        <v>0</v>
      </c>
      <c r="S71" s="99">
        <v>0.122</v>
      </c>
      <c r="T71" s="5"/>
      <c r="U71" s="16">
        <f t="shared" si="29"/>
        <v>73</v>
      </c>
      <c r="V71" s="9" t="s">
        <v>51</v>
      </c>
      <c r="W71" s="10" t="s">
        <v>51</v>
      </c>
      <c r="X71" s="9">
        <v>0.5</v>
      </c>
      <c r="Y71" s="16">
        <f t="shared" si="18"/>
        <v>163.4</v>
      </c>
      <c r="Z71" s="5"/>
      <c r="AC71" s="5"/>
    </row>
    <row r="72" spans="6:29" ht="15" customHeight="1" x14ac:dyDescent="0.2">
      <c r="F72" s="1"/>
      <c r="G72" s="1"/>
      <c r="L72" s="5"/>
      <c r="M72" s="5"/>
      <c r="N72" s="5"/>
      <c r="O72" s="5"/>
      <c r="Q72" s="284">
        <v>0.75</v>
      </c>
      <c r="R72" s="300">
        <v>0.122001</v>
      </c>
      <c r="S72" s="91">
        <v>0.21299999999999999</v>
      </c>
      <c r="T72" s="5"/>
      <c r="U72" s="16">
        <f t="shared" si="29"/>
        <v>74</v>
      </c>
      <c r="V72" s="9" t="s">
        <v>51</v>
      </c>
      <c r="W72" s="10" t="s">
        <v>51</v>
      </c>
      <c r="X72" s="9">
        <v>0.5</v>
      </c>
      <c r="Y72" s="16">
        <f t="shared" si="18"/>
        <v>165.20000000000002</v>
      </c>
      <c r="Z72" s="5"/>
      <c r="AC72" s="5"/>
    </row>
    <row r="73" spans="6:29" ht="15" customHeight="1" x14ac:dyDescent="0.2">
      <c r="F73" s="1"/>
      <c r="G73" s="1"/>
      <c r="L73" s="5"/>
      <c r="M73" s="5"/>
      <c r="N73" s="5"/>
      <c r="O73" s="5"/>
      <c r="Q73" s="284">
        <v>1</v>
      </c>
      <c r="R73" s="300">
        <v>0.213001</v>
      </c>
      <c r="S73" s="91">
        <v>0.34599999999999997</v>
      </c>
      <c r="T73" s="5"/>
      <c r="U73" s="16">
        <f t="shared" si="29"/>
        <v>75</v>
      </c>
      <c r="V73" s="9" t="s">
        <v>51</v>
      </c>
      <c r="W73" s="10" t="s">
        <v>51</v>
      </c>
      <c r="X73" s="9">
        <v>0.5</v>
      </c>
      <c r="Y73" s="16">
        <f t="shared" ref="Y73:Y83" si="33">(U73*1.8)+32</f>
        <v>167</v>
      </c>
      <c r="Z73" s="5"/>
      <c r="AC73" s="5"/>
    </row>
    <row r="74" spans="6:29" ht="15" customHeight="1" x14ac:dyDescent="0.2">
      <c r="F74" s="1"/>
      <c r="G74" s="1"/>
      <c r="L74" s="5"/>
      <c r="M74" s="5"/>
      <c r="N74" s="5"/>
      <c r="O74" s="5"/>
      <c r="Q74" s="284">
        <v>1.25</v>
      </c>
      <c r="R74" s="300">
        <v>0.346001</v>
      </c>
      <c r="S74" s="91">
        <v>0.59799999999999998</v>
      </c>
      <c r="T74" s="5"/>
      <c r="U74" s="16">
        <f t="shared" ref="U74:U83" si="34">U73+1</f>
        <v>76</v>
      </c>
      <c r="V74" s="9" t="s">
        <v>51</v>
      </c>
      <c r="W74" s="10" t="s">
        <v>51</v>
      </c>
      <c r="X74" s="9">
        <v>0.41</v>
      </c>
      <c r="Y74" s="16">
        <f t="shared" si="33"/>
        <v>168.8</v>
      </c>
      <c r="Z74" s="5"/>
      <c r="AC74" s="5"/>
    </row>
    <row r="75" spans="6:29" ht="15" customHeight="1" x14ac:dyDescent="0.2">
      <c r="F75" s="1"/>
      <c r="G75" s="1"/>
      <c r="L75" s="5"/>
      <c r="M75" s="5"/>
      <c r="N75" s="5"/>
      <c r="O75" s="5"/>
      <c r="Q75" s="284">
        <v>1.5</v>
      </c>
      <c r="R75" s="300">
        <v>0.598001</v>
      </c>
      <c r="S75" s="91">
        <v>0.81399999999999995</v>
      </c>
      <c r="T75" s="5"/>
      <c r="U75" s="16">
        <f t="shared" si="34"/>
        <v>77</v>
      </c>
      <c r="V75" s="9" t="s">
        <v>51</v>
      </c>
      <c r="W75" s="10" t="s">
        <v>51</v>
      </c>
      <c r="X75" s="9">
        <v>0.41</v>
      </c>
      <c r="Y75" s="16">
        <f t="shared" si="33"/>
        <v>170.6</v>
      </c>
      <c r="Z75" s="5"/>
      <c r="AC75" s="5"/>
    </row>
    <row r="76" spans="6:29" ht="15" customHeight="1" x14ac:dyDescent="0.2">
      <c r="F76" s="1"/>
      <c r="G76" s="1"/>
      <c r="L76" s="5"/>
      <c r="M76" s="5"/>
      <c r="N76" s="5"/>
      <c r="O76" s="5"/>
      <c r="Q76" s="284">
        <v>2</v>
      </c>
      <c r="R76" s="300">
        <v>0.81400099999999997</v>
      </c>
      <c r="S76" s="91">
        <v>1.3420000000000001</v>
      </c>
      <c r="T76" s="5"/>
      <c r="U76" s="16">
        <f t="shared" si="34"/>
        <v>78</v>
      </c>
      <c r="V76" s="9" t="s">
        <v>51</v>
      </c>
      <c r="W76" s="10" t="s">
        <v>51</v>
      </c>
      <c r="X76" s="9">
        <v>0.41</v>
      </c>
      <c r="Y76" s="16">
        <f t="shared" si="33"/>
        <v>172.4</v>
      </c>
      <c r="Z76" s="5"/>
      <c r="AC76" s="5"/>
    </row>
    <row r="77" spans="6:29" ht="15" customHeight="1" x14ac:dyDescent="0.2">
      <c r="F77" s="1"/>
      <c r="G77" s="1"/>
      <c r="L77" s="5"/>
      <c r="M77" s="5"/>
      <c r="N77" s="5"/>
      <c r="O77" s="5"/>
      <c r="Q77" s="284">
        <v>2.5</v>
      </c>
      <c r="R77" s="300">
        <v>1.342001</v>
      </c>
      <c r="S77" s="91">
        <v>2.343</v>
      </c>
      <c r="T77" s="5"/>
      <c r="U77" s="16">
        <f t="shared" si="34"/>
        <v>79</v>
      </c>
      <c r="V77" s="9" t="s">
        <v>51</v>
      </c>
      <c r="W77" s="10" t="s">
        <v>51</v>
      </c>
      <c r="X77" s="9">
        <v>0.41</v>
      </c>
      <c r="Y77" s="16">
        <f t="shared" si="33"/>
        <v>174.20000000000002</v>
      </c>
      <c r="Z77" s="5"/>
      <c r="AC77" s="5"/>
    </row>
    <row r="78" spans="6:29" ht="15" customHeight="1" x14ac:dyDescent="0.2">
      <c r="F78" s="1"/>
      <c r="G78" s="1"/>
      <c r="L78" s="5"/>
      <c r="M78" s="5"/>
      <c r="N78" s="5"/>
      <c r="O78" s="5"/>
      <c r="Q78" s="284">
        <v>3</v>
      </c>
      <c r="R78" s="300">
        <v>2.3430010000000001</v>
      </c>
      <c r="S78" s="91">
        <v>3.5379999999999998</v>
      </c>
      <c r="T78" s="5"/>
      <c r="U78" s="16">
        <f t="shared" si="34"/>
        <v>80</v>
      </c>
      <c r="V78" s="9" t="s">
        <v>51</v>
      </c>
      <c r="W78" s="10" t="s">
        <v>51</v>
      </c>
      <c r="X78" s="9">
        <v>0.41</v>
      </c>
      <c r="Y78" s="16">
        <f t="shared" si="33"/>
        <v>176</v>
      </c>
      <c r="Z78" s="5"/>
      <c r="AC78" s="5"/>
    </row>
    <row r="79" spans="6:29" ht="15" customHeight="1" x14ac:dyDescent="0.2">
      <c r="F79" s="1"/>
      <c r="G79" s="1"/>
      <c r="L79" s="5"/>
      <c r="M79" s="5"/>
      <c r="N79" s="5"/>
      <c r="O79" s="5"/>
      <c r="Q79" s="284">
        <v>3.5</v>
      </c>
      <c r="R79" s="300">
        <v>3.538001</v>
      </c>
      <c r="S79" s="91">
        <v>4.6180000000000003</v>
      </c>
      <c r="T79" s="5"/>
      <c r="U79" s="16">
        <f t="shared" si="34"/>
        <v>81</v>
      </c>
      <c r="V79" s="9" t="s">
        <v>51</v>
      </c>
      <c r="W79" s="10" t="s">
        <v>51</v>
      </c>
      <c r="X79" s="9">
        <v>0.28999999999999998</v>
      </c>
      <c r="Y79" s="16">
        <f t="shared" si="33"/>
        <v>177.8</v>
      </c>
      <c r="Z79" s="5"/>
      <c r="AC79" s="5"/>
    </row>
    <row r="80" spans="6:29" ht="15" customHeight="1" x14ac:dyDescent="0.2">
      <c r="F80" s="1"/>
      <c r="G80" s="1"/>
      <c r="L80" s="5"/>
      <c r="M80" s="5"/>
      <c r="N80" s="5"/>
      <c r="O80" s="5"/>
      <c r="Q80" s="302">
        <v>4</v>
      </c>
      <c r="R80" s="301">
        <v>4.6180009999999996</v>
      </c>
      <c r="S80" s="98">
        <v>5.9009999999999998</v>
      </c>
      <c r="T80" s="5"/>
      <c r="U80" s="16">
        <f t="shared" si="34"/>
        <v>82</v>
      </c>
      <c r="V80" s="9" t="s">
        <v>51</v>
      </c>
      <c r="W80" s="10" t="s">
        <v>51</v>
      </c>
      <c r="X80" s="9">
        <v>0.28999999999999998</v>
      </c>
      <c r="Y80" s="16">
        <f t="shared" si="33"/>
        <v>179.6</v>
      </c>
      <c r="Z80" s="5"/>
      <c r="AC80" s="5"/>
    </row>
    <row r="81" spans="6:29" ht="15" customHeight="1" x14ac:dyDescent="0.2">
      <c r="F81" s="1"/>
      <c r="G81" s="1"/>
      <c r="H81" s="1"/>
      <c r="I81" s="1"/>
      <c r="J81" s="5"/>
      <c r="K81" s="5"/>
      <c r="L81" s="5"/>
      <c r="M81" s="5"/>
      <c r="N81" s="5"/>
      <c r="O81" s="5"/>
      <c r="T81" s="5"/>
      <c r="U81" s="16">
        <f t="shared" si="34"/>
        <v>83</v>
      </c>
      <c r="V81" s="9" t="s">
        <v>51</v>
      </c>
      <c r="W81" s="10" t="s">
        <v>51</v>
      </c>
      <c r="X81" s="9">
        <v>0.28999999999999998</v>
      </c>
      <c r="Y81" s="16">
        <f t="shared" si="33"/>
        <v>181.4</v>
      </c>
      <c r="Z81" s="5"/>
      <c r="AC81" s="5"/>
    </row>
    <row r="82" spans="6:29" ht="15" customHeight="1" x14ac:dyDescent="0.2">
      <c r="F82" s="1"/>
      <c r="G82" s="1"/>
      <c r="H82" s="1"/>
      <c r="I82" s="1"/>
      <c r="J82" s="5"/>
      <c r="K82" s="5"/>
      <c r="L82" s="5"/>
      <c r="M82" s="5"/>
      <c r="N82" s="5"/>
      <c r="O82" s="5"/>
      <c r="T82" s="5"/>
      <c r="U82" s="16">
        <f t="shared" si="34"/>
        <v>84</v>
      </c>
      <c r="V82" s="9" t="s">
        <v>51</v>
      </c>
      <c r="W82" s="10" t="s">
        <v>51</v>
      </c>
      <c r="X82" s="9">
        <v>0.28999999999999998</v>
      </c>
      <c r="Y82" s="16">
        <f t="shared" si="33"/>
        <v>183.20000000000002</v>
      </c>
      <c r="Z82" s="5"/>
      <c r="AC82" s="5"/>
    </row>
    <row r="83" spans="6:29" ht="15" customHeight="1" x14ac:dyDescent="0.2">
      <c r="F83" s="1"/>
      <c r="G83" s="1"/>
      <c r="H83" s="1"/>
      <c r="I83" s="1"/>
      <c r="J83" s="5"/>
      <c r="K83" s="5"/>
      <c r="L83" s="5"/>
      <c r="M83" s="5"/>
      <c r="N83" s="5"/>
      <c r="O83" s="5"/>
      <c r="T83" s="5"/>
      <c r="U83" s="92">
        <f t="shared" si="34"/>
        <v>85</v>
      </c>
      <c r="V83" s="104" t="s">
        <v>51</v>
      </c>
      <c r="W83" s="11" t="s">
        <v>51</v>
      </c>
      <c r="X83" s="12">
        <v>0.28999999999999998</v>
      </c>
      <c r="Y83" s="92">
        <f t="shared" si="33"/>
        <v>185</v>
      </c>
      <c r="Z83" s="5"/>
      <c r="AC83" s="5"/>
    </row>
    <row r="84" spans="6:29" ht="15" customHeight="1" x14ac:dyDescent="0.2">
      <c r="F84" s="1"/>
      <c r="G84" s="1"/>
      <c r="H84" s="1"/>
      <c r="I84" s="1"/>
      <c r="J84" s="5"/>
      <c r="K84" s="5"/>
      <c r="L84" s="5"/>
      <c r="M84" s="5"/>
      <c r="N84" s="5"/>
      <c r="O84" s="5"/>
      <c r="T84" s="5"/>
      <c r="Z84" s="5"/>
      <c r="AC84" s="5"/>
    </row>
    <row r="85" spans="6:29" ht="15" customHeight="1" x14ac:dyDescent="0.2">
      <c r="F85" s="1"/>
      <c r="G85" s="1"/>
      <c r="H85" s="1"/>
      <c r="I85" s="1"/>
      <c r="J85" s="5"/>
      <c r="K85" s="5"/>
      <c r="L85" s="5"/>
      <c r="M85" s="5"/>
      <c r="N85" s="5"/>
      <c r="O85" s="5"/>
      <c r="T85" s="5"/>
      <c r="V85" s="5"/>
      <c r="W85" s="17" t="s">
        <v>81</v>
      </c>
      <c r="X85" s="99">
        <v>29</v>
      </c>
      <c r="Z85" s="15" t="s">
        <v>88</v>
      </c>
      <c r="AC85" s="5"/>
    </row>
    <row r="86" spans="6:29" ht="15" customHeight="1" x14ac:dyDescent="0.2">
      <c r="F86" s="1"/>
      <c r="G86" s="1"/>
      <c r="H86" s="1"/>
      <c r="I86" s="1"/>
      <c r="J86" s="5"/>
      <c r="K86" s="5"/>
      <c r="L86" s="5"/>
      <c r="M86" s="5"/>
      <c r="N86" s="5"/>
      <c r="O86" s="5"/>
      <c r="T86" s="5"/>
      <c r="V86" s="5"/>
      <c r="W86" s="18" t="s">
        <v>82</v>
      </c>
      <c r="X86" s="91">
        <v>30</v>
      </c>
      <c r="Z86" s="92" t="s">
        <v>89</v>
      </c>
      <c r="AC86" s="5"/>
    </row>
    <row r="87" spans="6:29" ht="15" customHeight="1" x14ac:dyDescent="0.2">
      <c r="F87" s="1"/>
      <c r="G87" s="1"/>
      <c r="H87" s="1"/>
      <c r="I87" s="1"/>
      <c r="J87" s="5"/>
      <c r="K87" s="5"/>
      <c r="L87" s="5"/>
      <c r="M87" s="5"/>
      <c r="N87" s="5"/>
      <c r="O87" s="5"/>
      <c r="T87" s="5"/>
      <c r="V87" s="5"/>
      <c r="W87" s="18" t="s">
        <v>83</v>
      </c>
      <c r="X87" s="91">
        <v>32</v>
      </c>
      <c r="Z87" s="5"/>
      <c r="AC87" s="5"/>
    </row>
    <row r="88" spans="6:29" ht="15" customHeight="1" x14ac:dyDescent="0.2">
      <c r="F88" s="1"/>
      <c r="G88" s="1"/>
      <c r="H88" s="1"/>
      <c r="I88" s="1"/>
      <c r="J88" s="5"/>
      <c r="K88" s="5"/>
      <c r="L88" s="5"/>
      <c r="M88" s="5"/>
      <c r="N88" s="5"/>
      <c r="O88" s="5"/>
      <c r="T88" s="5"/>
      <c r="V88" s="5"/>
      <c r="W88" s="19" t="s">
        <v>84</v>
      </c>
      <c r="X88" s="98">
        <v>36</v>
      </c>
      <c r="Z88" s="15" t="s">
        <v>86</v>
      </c>
      <c r="AC88" s="5"/>
    </row>
    <row r="89" spans="6:29" ht="15" customHeight="1" x14ac:dyDescent="0.2">
      <c r="F89" s="1"/>
      <c r="G89" s="1"/>
      <c r="H89" s="1"/>
      <c r="I89" s="1"/>
      <c r="J89" s="5"/>
      <c r="K89" s="5"/>
      <c r="L89" s="5"/>
      <c r="M89" s="5"/>
      <c r="N89" s="5"/>
      <c r="O89" s="5"/>
      <c r="T89" s="5"/>
      <c r="V89" s="5"/>
      <c r="W89" s="5"/>
      <c r="X89" s="5"/>
      <c r="Z89" s="92" t="s">
        <v>87</v>
      </c>
      <c r="AC89" s="5"/>
    </row>
    <row r="90" spans="6:29" ht="15" customHeight="1" x14ac:dyDescent="0.2">
      <c r="F90" s="1"/>
      <c r="G90" s="1"/>
      <c r="H90" s="1"/>
      <c r="I90" s="1"/>
      <c r="J90" s="5"/>
      <c r="K90" s="5"/>
      <c r="L90" s="5"/>
      <c r="M90" s="5"/>
      <c r="N90" s="5"/>
      <c r="O90" s="5"/>
      <c r="P90" s="482" t="s">
        <v>16</v>
      </c>
      <c r="Q90" s="482"/>
      <c r="R90" s="482"/>
      <c r="S90" s="482"/>
      <c r="T90" s="5"/>
      <c r="U90" s="463" t="s">
        <v>61</v>
      </c>
      <c r="V90" s="464"/>
      <c r="W90" s="465"/>
      <c r="X90" s="5"/>
      <c r="Z90" s="5"/>
      <c r="AC90" s="5"/>
    </row>
    <row r="91" spans="6:29" ht="15" customHeight="1" x14ac:dyDescent="0.2">
      <c r="F91" s="1"/>
      <c r="G91" s="1"/>
      <c r="H91" s="1"/>
      <c r="I91" s="1"/>
      <c r="J91" s="5"/>
      <c r="K91" s="5"/>
      <c r="L91" s="5"/>
      <c r="M91" s="5"/>
      <c r="N91" s="5"/>
      <c r="O91" s="5"/>
      <c r="P91" s="482"/>
      <c r="Q91" s="482"/>
      <c r="R91" s="482"/>
      <c r="S91" s="482"/>
      <c r="T91" s="5"/>
      <c r="U91" s="466" t="s">
        <v>62</v>
      </c>
      <c r="V91" s="467"/>
      <c r="W91" s="468"/>
      <c r="X91" s="5"/>
      <c r="Z91" s="24"/>
      <c r="AC91" s="5"/>
    </row>
    <row r="92" spans="6:29" ht="15" customHeight="1" x14ac:dyDescent="0.2">
      <c r="F92" s="1"/>
      <c r="G92" s="1"/>
      <c r="H92" s="1"/>
      <c r="I92" s="1"/>
      <c r="J92" s="5"/>
      <c r="K92" s="5"/>
      <c r="L92" s="5"/>
      <c r="M92" s="5"/>
      <c r="N92" s="5"/>
      <c r="O92" s="5"/>
      <c r="P92" s="471" t="s">
        <v>18</v>
      </c>
      <c r="Q92" s="471"/>
      <c r="R92" s="471" t="s">
        <v>17</v>
      </c>
      <c r="S92" s="471"/>
      <c r="T92" s="5"/>
      <c r="U92" s="37" t="s">
        <v>74</v>
      </c>
      <c r="V92" s="195" t="s">
        <v>75</v>
      </c>
      <c r="W92" s="37" t="s">
        <v>76</v>
      </c>
      <c r="X92" s="5"/>
      <c r="Z92" s="49"/>
      <c r="AC92" s="5"/>
    </row>
    <row r="93" spans="6:29" ht="15" customHeight="1" x14ac:dyDescent="0.2">
      <c r="F93" s="1"/>
      <c r="G93" s="1"/>
      <c r="H93" s="1"/>
      <c r="I93" s="1"/>
      <c r="J93" s="5"/>
      <c r="K93" s="5"/>
      <c r="L93" s="5"/>
      <c r="M93" s="5"/>
      <c r="N93" s="5"/>
      <c r="O93" s="5"/>
      <c r="P93" s="462">
        <v>18</v>
      </c>
      <c r="Q93" s="451"/>
      <c r="R93" s="462" t="s">
        <v>51</v>
      </c>
      <c r="S93" s="451"/>
      <c r="T93" s="5"/>
      <c r="U93" s="16">
        <v>1</v>
      </c>
      <c r="V93" s="5">
        <v>0</v>
      </c>
      <c r="W93" s="16">
        <v>1</v>
      </c>
      <c r="X93" s="5"/>
      <c r="Z93" s="22"/>
      <c r="AC93" s="5"/>
    </row>
    <row r="94" spans="6:29" ht="15" customHeight="1" x14ac:dyDescent="0.2">
      <c r="F94" s="1"/>
      <c r="G94" s="1"/>
      <c r="H94" s="1"/>
      <c r="I94" s="1"/>
      <c r="J94" s="5"/>
      <c r="K94" s="5"/>
      <c r="L94" s="5"/>
      <c r="M94" s="5"/>
      <c r="N94" s="5"/>
      <c r="O94" s="5"/>
      <c r="P94" s="462">
        <v>16</v>
      </c>
      <c r="Q94" s="451"/>
      <c r="R94" s="462" t="s">
        <v>51</v>
      </c>
      <c r="S94" s="451"/>
      <c r="T94" s="5"/>
      <c r="U94" s="16">
        <v>1.5</v>
      </c>
      <c r="V94" s="5">
        <v>1.1000000000000001</v>
      </c>
      <c r="W94" s="16">
        <v>1.5</v>
      </c>
      <c r="X94" s="5"/>
      <c r="Z94" s="22"/>
      <c r="AC94" s="5"/>
    </row>
    <row r="95" spans="6:29" ht="15" customHeight="1" x14ac:dyDescent="0.2">
      <c r="F95" s="1"/>
      <c r="G95" s="1"/>
      <c r="H95" s="1"/>
      <c r="I95" s="1"/>
      <c r="J95" s="5"/>
      <c r="K95" s="5"/>
      <c r="L95" s="5"/>
      <c r="M95" s="5"/>
      <c r="N95" s="5"/>
      <c r="O95" s="5"/>
      <c r="P95" s="462">
        <v>14</v>
      </c>
      <c r="Q95" s="451"/>
      <c r="R95" s="462">
        <v>20</v>
      </c>
      <c r="S95" s="451"/>
      <c r="T95" s="5"/>
      <c r="U95" s="16">
        <v>2</v>
      </c>
      <c r="V95" s="5">
        <v>1.6</v>
      </c>
      <c r="W95" s="16">
        <v>2</v>
      </c>
      <c r="X95" s="5"/>
      <c r="Z95" s="5"/>
      <c r="AC95" s="5"/>
    </row>
    <row r="96" spans="6:29" ht="15" customHeight="1" x14ac:dyDescent="0.2">
      <c r="F96" s="1"/>
      <c r="G96" s="1"/>
      <c r="H96" s="1"/>
      <c r="I96" s="1"/>
      <c r="J96" s="5"/>
      <c r="K96" s="5"/>
      <c r="L96" s="5"/>
      <c r="M96" s="5"/>
      <c r="N96" s="5"/>
      <c r="O96" s="5"/>
      <c r="P96" s="462">
        <v>12</v>
      </c>
      <c r="Q96" s="451"/>
      <c r="R96" s="462">
        <v>25</v>
      </c>
      <c r="S96" s="451"/>
      <c r="T96" s="5"/>
      <c r="U96" s="16">
        <v>3</v>
      </c>
      <c r="V96" s="5">
        <v>2.1</v>
      </c>
      <c r="W96" s="16">
        <v>3</v>
      </c>
      <c r="X96" s="5"/>
      <c r="Z96" s="5"/>
      <c r="AC96" s="5"/>
    </row>
    <row r="97" spans="6:29" ht="15" customHeight="1" x14ac:dyDescent="0.2">
      <c r="F97" s="1"/>
      <c r="G97" s="1"/>
      <c r="H97" s="1"/>
      <c r="I97" s="1"/>
      <c r="J97" s="5"/>
      <c r="K97" s="5"/>
      <c r="L97" s="5"/>
      <c r="M97" s="5"/>
      <c r="N97" s="5"/>
      <c r="O97" s="5"/>
      <c r="P97" s="462">
        <v>10</v>
      </c>
      <c r="Q97" s="451"/>
      <c r="R97" s="462">
        <v>35</v>
      </c>
      <c r="S97" s="451"/>
      <c r="T97" s="5"/>
      <c r="U97" s="16">
        <v>5</v>
      </c>
      <c r="V97" s="5">
        <v>3.1</v>
      </c>
      <c r="W97" s="16">
        <v>5</v>
      </c>
      <c r="X97" s="5"/>
      <c r="Z97" s="5"/>
      <c r="AC97" s="5"/>
    </row>
    <row r="98" spans="6:29" ht="15" customHeight="1" x14ac:dyDescent="0.2">
      <c r="F98" s="1"/>
      <c r="G98" s="1"/>
      <c r="H98" s="1"/>
      <c r="I98" s="1"/>
      <c r="J98" s="5"/>
      <c r="K98" s="5"/>
      <c r="L98" s="5"/>
      <c r="M98" s="5"/>
      <c r="N98" s="5"/>
      <c r="O98" s="5"/>
      <c r="P98" s="462">
        <v>8</v>
      </c>
      <c r="Q98" s="451"/>
      <c r="R98" s="462">
        <v>50</v>
      </c>
      <c r="S98" s="451"/>
      <c r="T98" s="5"/>
      <c r="U98" s="16">
        <v>7.5</v>
      </c>
      <c r="V98" s="5">
        <v>5.0999999999999996</v>
      </c>
      <c r="W98" s="16">
        <v>7.5</v>
      </c>
      <c r="X98" s="5"/>
      <c r="Z98" s="5"/>
      <c r="AC98" s="5"/>
    </row>
    <row r="99" spans="6:29" ht="15" customHeight="1" x14ac:dyDescent="0.2">
      <c r="F99" s="1"/>
      <c r="G99" s="1"/>
      <c r="H99" s="1"/>
      <c r="I99" s="1"/>
      <c r="J99" s="5"/>
      <c r="K99" s="5"/>
      <c r="L99" s="5"/>
      <c r="M99" s="5"/>
      <c r="N99" s="5"/>
      <c r="O99" s="5"/>
      <c r="P99" s="462">
        <v>6</v>
      </c>
      <c r="Q99" s="451"/>
      <c r="R99" s="462">
        <v>65</v>
      </c>
      <c r="S99" s="451"/>
      <c r="T99" s="5"/>
      <c r="U99" s="16">
        <v>10</v>
      </c>
      <c r="V99" s="5">
        <v>7.6</v>
      </c>
      <c r="W99" s="16">
        <v>10</v>
      </c>
      <c r="X99" s="5"/>
      <c r="Z99" s="5"/>
      <c r="AC99" s="5"/>
    </row>
    <row r="100" spans="6:29" ht="15" customHeight="1" x14ac:dyDescent="0.2">
      <c r="F100" s="1"/>
      <c r="G100" s="1"/>
      <c r="H100" s="1"/>
      <c r="I100" s="1"/>
      <c r="J100" s="5"/>
      <c r="K100" s="5"/>
      <c r="L100" s="5"/>
      <c r="M100" s="5"/>
      <c r="N100" s="5"/>
      <c r="O100" s="5"/>
      <c r="P100" s="462">
        <v>4</v>
      </c>
      <c r="Q100" s="451"/>
      <c r="R100" s="462">
        <v>85</v>
      </c>
      <c r="S100" s="451"/>
      <c r="T100" s="5"/>
      <c r="U100" s="16">
        <v>15</v>
      </c>
      <c r="V100" s="5">
        <v>10.1</v>
      </c>
      <c r="W100" s="16">
        <v>15</v>
      </c>
      <c r="X100" s="5"/>
      <c r="Z100" s="5"/>
      <c r="AC100" s="5"/>
    </row>
    <row r="101" spans="6:29" ht="15" customHeight="1" x14ac:dyDescent="0.2">
      <c r="F101" s="1"/>
      <c r="G101" s="1"/>
      <c r="H101" s="1"/>
      <c r="I101" s="1"/>
      <c r="J101" s="5"/>
      <c r="K101" s="5"/>
      <c r="L101" s="5"/>
      <c r="M101" s="5"/>
      <c r="N101" s="5"/>
      <c r="O101" s="5"/>
      <c r="P101" s="462">
        <v>3</v>
      </c>
      <c r="Q101" s="451"/>
      <c r="R101" s="462">
        <v>100</v>
      </c>
      <c r="S101" s="451"/>
      <c r="T101" s="5"/>
      <c r="U101" s="16">
        <v>25</v>
      </c>
      <c r="V101" s="5">
        <v>15.1</v>
      </c>
      <c r="W101" s="16">
        <v>25</v>
      </c>
      <c r="X101" s="5"/>
      <c r="Z101" s="5"/>
      <c r="AC101" s="5"/>
    </row>
    <row r="102" spans="6:29" ht="15" customHeight="1" x14ac:dyDescent="0.2">
      <c r="F102" s="1"/>
      <c r="G102" s="1"/>
      <c r="H102" s="1"/>
      <c r="I102" s="1"/>
      <c r="J102" s="5"/>
      <c r="K102" s="5"/>
      <c r="L102" s="5"/>
      <c r="M102" s="5"/>
      <c r="N102" s="5"/>
      <c r="O102" s="5"/>
      <c r="P102" s="462">
        <v>2</v>
      </c>
      <c r="Q102" s="451"/>
      <c r="R102" s="462">
        <v>115</v>
      </c>
      <c r="S102" s="451"/>
      <c r="T102" s="5"/>
      <c r="U102" s="16">
        <v>37.5</v>
      </c>
      <c r="V102" s="5">
        <v>25.1</v>
      </c>
      <c r="W102" s="16">
        <v>37.5</v>
      </c>
      <c r="X102" s="5"/>
      <c r="Z102" s="5"/>
      <c r="AC102" s="5"/>
    </row>
    <row r="103" spans="6:29" ht="15" customHeight="1" x14ac:dyDescent="0.2">
      <c r="F103" s="1"/>
      <c r="G103" s="1"/>
      <c r="H103" s="1"/>
      <c r="I103" s="1"/>
      <c r="J103" s="5"/>
      <c r="K103" s="5"/>
      <c r="L103" s="5"/>
      <c r="M103" s="5"/>
      <c r="N103" s="5"/>
      <c r="O103" s="5"/>
      <c r="P103" s="462">
        <v>1</v>
      </c>
      <c r="Q103" s="451"/>
      <c r="R103" s="450">
        <v>130</v>
      </c>
      <c r="S103" s="451"/>
      <c r="T103" s="5"/>
      <c r="U103" s="16">
        <v>50</v>
      </c>
      <c r="V103" s="5">
        <v>37.6</v>
      </c>
      <c r="W103" s="16">
        <v>50</v>
      </c>
      <c r="X103" s="5"/>
      <c r="Z103" s="5"/>
      <c r="AC103" s="5"/>
    </row>
    <row r="104" spans="6:29" ht="15" customHeight="1" x14ac:dyDescent="0.2">
      <c r="F104" s="1"/>
      <c r="G104" s="1"/>
      <c r="H104" s="1"/>
      <c r="I104" s="1"/>
      <c r="J104" s="5"/>
      <c r="K104" s="5"/>
      <c r="L104" s="5"/>
      <c r="M104" s="5"/>
      <c r="N104" s="5"/>
      <c r="O104" s="5"/>
      <c r="P104" s="448" t="s">
        <v>19</v>
      </c>
      <c r="Q104" s="449"/>
      <c r="R104" s="450">
        <v>150</v>
      </c>
      <c r="S104" s="451"/>
      <c r="T104" s="5"/>
      <c r="U104" s="16">
        <v>75</v>
      </c>
      <c r="V104" s="5">
        <v>50.1</v>
      </c>
      <c r="W104" s="16">
        <v>75</v>
      </c>
      <c r="X104" s="5"/>
      <c r="Z104" s="5"/>
      <c r="AC104" s="5"/>
    </row>
    <row r="105" spans="6:29" ht="15" customHeight="1" x14ac:dyDescent="0.2">
      <c r="F105" s="1"/>
      <c r="G105" s="1"/>
      <c r="H105" s="1"/>
      <c r="I105" s="1"/>
      <c r="J105" s="5"/>
      <c r="K105" s="5"/>
      <c r="L105" s="5"/>
      <c r="M105" s="5"/>
      <c r="N105" s="5"/>
      <c r="O105" s="5"/>
      <c r="P105" s="448" t="s">
        <v>29</v>
      </c>
      <c r="Q105" s="449"/>
      <c r="R105" s="450">
        <v>175</v>
      </c>
      <c r="S105" s="451"/>
      <c r="T105" s="5"/>
      <c r="U105" s="16">
        <v>100</v>
      </c>
      <c r="V105" s="5">
        <v>75.099999999999994</v>
      </c>
      <c r="W105" s="16">
        <v>100</v>
      </c>
      <c r="X105" s="5"/>
      <c r="Z105" s="5"/>
      <c r="AC105" s="5"/>
    </row>
    <row r="106" spans="6:29" ht="15" customHeight="1" x14ac:dyDescent="0.2">
      <c r="F106" s="1"/>
      <c r="G106" s="1"/>
      <c r="H106" s="1"/>
      <c r="I106" s="1"/>
      <c r="J106" s="5"/>
      <c r="K106" s="5"/>
      <c r="L106" s="5"/>
      <c r="M106" s="5"/>
      <c r="N106" s="5"/>
      <c r="O106" s="5"/>
      <c r="P106" s="448" t="s">
        <v>28</v>
      </c>
      <c r="Q106" s="449"/>
      <c r="R106" s="450">
        <v>200</v>
      </c>
      <c r="S106" s="451"/>
      <c r="T106" s="5"/>
      <c r="U106" s="16">
        <v>167</v>
      </c>
      <c r="V106" s="5">
        <v>100.1</v>
      </c>
      <c r="W106" s="16">
        <v>167</v>
      </c>
      <c r="X106" s="5"/>
      <c r="Z106" s="5"/>
      <c r="AC106" s="5"/>
    </row>
    <row r="107" spans="6:29" ht="15" customHeight="1" x14ac:dyDescent="0.2">
      <c r="F107" s="1"/>
      <c r="G107" s="1"/>
      <c r="H107" s="1"/>
      <c r="I107" s="1"/>
      <c r="J107" s="5"/>
      <c r="K107" s="5"/>
      <c r="L107" s="5"/>
      <c r="M107" s="5"/>
      <c r="N107" s="5"/>
      <c r="O107" s="5"/>
      <c r="P107" s="448" t="s">
        <v>27</v>
      </c>
      <c r="Q107" s="449"/>
      <c r="R107" s="450">
        <v>230</v>
      </c>
      <c r="S107" s="451"/>
      <c r="T107" s="5"/>
      <c r="U107" s="16">
        <v>200</v>
      </c>
      <c r="V107" s="5">
        <v>167.1</v>
      </c>
      <c r="W107" s="16">
        <v>200</v>
      </c>
      <c r="X107" s="5"/>
      <c r="Z107" s="5"/>
      <c r="AC107" s="5"/>
    </row>
    <row r="108" spans="6:29" ht="15" customHeight="1" x14ac:dyDescent="0.2">
      <c r="F108" s="1"/>
      <c r="G108" s="1"/>
      <c r="H108" s="1"/>
      <c r="I108" s="1"/>
      <c r="J108" s="5"/>
      <c r="K108" s="5"/>
      <c r="L108" s="5"/>
      <c r="M108" s="5"/>
      <c r="N108" s="5"/>
      <c r="O108" s="5"/>
      <c r="P108" s="448" t="s">
        <v>30</v>
      </c>
      <c r="Q108" s="449"/>
      <c r="R108" s="450">
        <v>255</v>
      </c>
      <c r="S108" s="451"/>
      <c r="T108" s="5"/>
      <c r="U108" s="16">
        <v>250</v>
      </c>
      <c r="V108" s="5">
        <v>200.1</v>
      </c>
      <c r="W108" s="16">
        <v>250</v>
      </c>
      <c r="X108" s="5"/>
      <c r="Z108" s="5"/>
      <c r="AC108" s="5"/>
    </row>
    <row r="109" spans="6:29" ht="15" customHeight="1" x14ac:dyDescent="0.2">
      <c r="F109" s="1"/>
      <c r="G109" s="1"/>
      <c r="H109" s="1"/>
      <c r="I109" s="1"/>
      <c r="J109" s="5"/>
      <c r="K109" s="5"/>
      <c r="L109" s="5"/>
      <c r="M109" s="5"/>
      <c r="N109" s="5"/>
      <c r="O109" s="5"/>
      <c r="P109" s="448" t="s">
        <v>31</v>
      </c>
      <c r="Q109" s="449"/>
      <c r="R109" s="450">
        <v>285</v>
      </c>
      <c r="S109" s="451"/>
      <c r="T109" s="5"/>
      <c r="U109" s="92">
        <v>333</v>
      </c>
      <c r="V109" s="63">
        <v>250.1</v>
      </c>
      <c r="W109" s="92">
        <v>333</v>
      </c>
      <c r="X109" s="5"/>
      <c r="Z109" s="5"/>
      <c r="AC109" s="5"/>
    </row>
    <row r="110" spans="6:29" ht="15" customHeight="1" x14ac:dyDescent="0.2">
      <c r="F110" s="1"/>
      <c r="G110" s="1"/>
      <c r="H110" s="1"/>
      <c r="I110" s="1"/>
      <c r="J110" s="5"/>
      <c r="K110" s="5"/>
      <c r="L110" s="5"/>
      <c r="M110" s="5"/>
      <c r="N110" s="5"/>
      <c r="O110" s="5"/>
      <c r="P110" s="448" t="s">
        <v>32</v>
      </c>
      <c r="Q110" s="449"/>
      <c r="R110" s="450">
        <v>310</v>
      </c>
      <c r="S110" s="451"/>
      <c r="T110" s="5"/>
      <c r="W110" s="5"/>
      <c r="X110" s="5"/>
      <c r="Z110" s="5"/>
      <c r="AC110" s="5"/>
    </row>
    <row r="111" spans="6:29" ht="15" customHeight="1" x14ac:dyDescent="0.2">
      <c r="F111" s="1"/>
      <c r="G111" s="1"/>
      <c r="H111" s="1"/>
      <c r="I111" s="1"/>
      <c r="J111" s="5"/>
      <c r="K111" s="5"/>
      <c r="L111" s="5"/>
      <c r="M111" s="5"/>
      <c r="N111" s="5"/>
      <c r="O111" s="5"/>
      <c r="P111" s="448" t="s">
        <v>33</v>
      </c>
      <c r="Q111" s="449"/>
      <c r="R111" s="450">
        <v>335</v>
      </c>
      <c r="S111" s="451"/>
      <c r="T111" s="5"/>
      <c r="U111" s="461" t="s">
        <v>63</v>
      </c>
      <c r="V111" s="461"/>
      <c r="W111" s="461"/>
      <c r="X111" s="5"/>
      <c r="Y111" s="15" t="s">
        <v>115</v>
      </c>
      <c r="Z111" s="5"/>
      <c r="AC111" s="5"/>
    </row>
    <row r="112" spans="6:29" ht="15" customHeight="1" x14ac:dyDescent="0.2">
      <c r="F112" s="1"/>
      <c r="G112" s="1"/>
      <c r="H112" s="1"/>
      <c r="I112" s="1"/>
      <c r="J112" s="5"/>
      <c r="K112" s="5"/>
      <c r="L112" s="5"/>
      <c r="M112" s="5"/>
      <c r="N112" s="5"/>
      <c r="O112" s="5"/>
      <c r="P112" s="448" t="s">
        <v>34</v>
      </c>
      <c r="Q112" s="449"/>
      <c r="R112" s="450">
        <v>380</v>
      </c>
      <c r="S112" s="451"/>
      <c r="T112" s="5"/>
      <c r="U112" s="37" t="s">
        <v>74</v>
      </c>
      <c r="V112" s="37" t="s">
        <v>77</v>
      </c>
      <c r="W112" s="37" t="s">
        <v>76</v>
      </c>
      <c r="X112" s="5"/>
      <c r="Y112" s="16" t="s">
        <v>58</v>
      </c>
      <c r="Z112" s="5"/>
      <c r="AC112" s="5"/>
    </row>
    <row r="113" spans="6:29" ht="15" customHeight="1" x14ac:dyDescent="0.2">
      <c r="F113" s="1"/>
      <c r="G113" s="1"/>
      <c r="H113" s="1"/>
      <c r="I113" s="1"/>
      <c r="J113" s="5"/>
      <c r="K113" s="5"/>
      <c r="L113" s="5"/>
      <c r="M113" s="5"/>
      <c r="N113" s="5"/>
      <c r="O113" s="5"/>
      <c r="P113" s="448" t="s">
        <v>35</v>
      </c>
      <c r="Q113" s="449"/>
      <c r="R113" s="450">
        <v>420</v>
      </c>
      <c r="S113" s="451"/>
      <c r="T113" s="5"/>
      <c r="U113" s="15">
        <v>3</v>
      </c>
      <c r="V113" s="15">
        <v>0</v>
      </c>
      <c r="W113" s="15">
        <v>3</v>
      </c>
      <c r="X113" s="5"/>
      <c r="Y113" s="16" t="s">
        <v>59</v>
      </c>
      <c r="Z113" s="5"/>
      <c r="AC113" s="5"/>
    </row>
    <row r="114" spans="6:29" ht="15" customHeight="1" x14ac:dyDescent="0.2">
      <c r="F114" s="1"/>
      <c r="G114" s="1"/>
      <c r="H114" s="1"/>
      <c r="I114" s="1"/>
      <c r="J114" s="5"/>
      <c r="K114" s="5"/>
      <c r="L114" s="5"/>
      <c r="M114" s="5"/>
      <c r="N114" s="5"/>
      <c r="O114" s="5"/>
      <c r="P114" s="448" t="s">
        <v>36</v>
      </c>
      <c r="Q114" s="449"/>
      <c r="R114" s="450">
        <v>460</v>
      </c>
      <c r="S114" s="451"/>
      <c r="T114" s="5"/>
      <c r="U114" s="16">
        <v>6</v>
      </c>
      <c r="V114" s="16">
        <v>3.1</v>
      </c>
      <c r="W114" s="16">
        <v>6</v>
      </c>
      <c r="X114" s="5"/>
      <c r="Y114" s="16" t="s">
        <v>60</v>
      </c>
      <c r="Z114" s="5"/>
      <c r="AC114" s="5"/>
    </row>
    <row r="115" spans="6:29" ht="15" customHeight="1" x14ac:dyDescent="0.2">
      <c r="F115" s="1"/>
      <c r="G115" s="1"/>
      <c r="H115" s="1"/>
      <c r="I115" s="1"/>
      <c r="J115" s="5"/>
      <c r="K115" s="5"/>
      <c r="L115" s="5"/>
      <c r="M115" s="5"/>
      <c r="N115" s="5"/>
      <c r="O115" s="5"/>
      <c r="P115" s="448" t="s">
        <v>37</v>
      </c>
      <c r="Q115" s="449"/>
      <c r="R115" s="450">
        <v>475</v>
      </c>
      <c r="S115" s="451"/>
      <c r="T115" s="5"/>
      <c r="U115" s="16">
        <v>9</v>
      </c>
      <c r="V115" s="16">
        <v>6.1</v>
      </c>
      <c r="W115" s="16">
        <v>9</v>
      </c>
      <c r="X115" s="5"/>
      <c r="Y115" s="92" t="s">
        <v>222</v>
      </c>
      <c r="Z115" s="5"/>
      <c r="AC115" s="5"/>
    </row>
    <row r="116" spans="6:29" ht="15" customHeight="1" x14ac:dyDescent="0.2">
      <c r="F116" s="1"/>
      <c r="G116" s="1"/>
      <c r="H116" s="1"/>
      <c r="I116" s="1"/>
      <c r="J116" s="5"/>
      <c r="K116" s="5"/>
      <c r="L116" s="5"/>
      <c r="M116" s="5"/>
      <c r="N116" s="5"/>
      <c r="O116" s="5"/>
      <c r="P116" s="448" t="s">
        <v>38</v>
      </c>
      <c r="Q116" s="449"/>
      <c r="R116" s="450">
        <v>490</v>
      </c>
      <c r="S116" s="451"/>
      <c r="T116" s="5"/>
      <c r="U116" s="16">
        <v>15</v>
      </c>
      <c r="V116" s="16">
        <v>9.1</v>
      </c>
      <c r="W116" s="16">
        <v>15</v>
      </c>
      <c r="X116" s="5"/>
      <c r="Z116" s="5"/>
      <c r="AC116" s="5"/>
    </row>
    <row r="117" spans="6:29" ht="15" customHeight="1" x14ac:dyDescent="0.2">
      <c r="F117" s="1"/>
      <c r="G117" s="1"/>
      <c r="H117" s="1"/>
      <c r="I117" s="1"/>
      <c r="J117" s="5"/>
      <c r="K117" s="5"/>
      <c r="L117" s="5"/>
      <c r="M117" s="5"/>
      <c r="N117" s="5"/>
      <c r="O117" s="5"/>
      <c r="P117" s="448" t="s">
        <v>39</v>
      </c>
      <c r="Q117" s="449"/>
      <c r="R117" s="450">
        <v>520</v>
      </c>
      <c r="S117" s="451"/>
      <c r="T117" s="5"/>
      <c r="U117" s="16">
        <v>30</v>
      </c>
      <c r="V117" s="16">
        <v>15.1</v>
      </c>
      <c r="W117" s="16">
        <v>30</v>
      </c>
      <c r="X117" s="5"/>
      <c r="Z117" s="5"/>
      <c r="AC117" s="5"/>
    </row>
    <row r="118" spans="6:29" ht="15" customHeight="1" x14ac:dyDescent="0.2">
      <c r="F118" s="1"/>
      <c r="G118" s="1"/>
      <c r="H118" s="1"/>
      <c r="I118" s="1"/>
      <c r="J118" s="5"/>
      <c r="K118" s="5"/>
      <c r="L118" s="5"/>
      <c r="M118" s="5"/>
      <c r="N118" s="5"/>
      <c r="O118" s="5"/>
      <c r="P118" s="448" t="s">
        <v>40</v>
      </c>
      <c r="Q118" s="449"/>
      <c r="R118" s="450">
        <v>545</v>
      </c>
      <c r="S118" s="451"/>
      <c r="T118" s="5"/>
      <c r="U118" s="16">
        <v>45</v>
      </c>
      <c r="V118" s="16">
        <v>30.1</v>
      </c>
      <c r="W118" s="16">
        <v>45</v>
      </c>
      <c r="X118" s="5"/>
      <c r="Z118" s="5"/>
      <c r="AC118" s="5"/>
    </row>
    <row r="119" spans="6:29" ht="15" customHeight="1" x14ac:dyDescent="0.2">
      <c r="F119" s="1"/>
      <c r="G119" s="1"/>
      <c r="H119" s="1"/>
      <c r="I119" s="1"/>
      <c r="J119" s="5"/>
      <c r="K119" s="5"/>
      <c r="L119" s="5"/>
      <c r="M119" s="5"/>
      <c r="N119" s="5"/>
      <c r="O119" s="5"/>
      <c r="P119" s="448" t="s">
        <v>68</v>
      </c>
      <c r="Q119" s="449"/>
      <c r="R119" s="450">
        <v>590</v>
      </c>
      <c r="S119" s="451"/>
      <c r="T119" s="5"/>
      <c r="U119" s="16">
        <v>75</v>
      </c>
      <c r="V119" s="16">
        <v>45.1</v>
      </c>
      <c r="W119" s="16">
        <v>75</v>
      </c>
      <c r="X119" s="5"/>
      <c r="Z119" s="5"/>
      <c r="AC119" s="5"/>
    </row>
    <row r="120" spans="6:29" ht="15" customHeight="1" x14ac:dyDescent="0.2">
      <c r="F120" s="1"/>
      <c r="G120" s="1"/>
      <c r="H120" s="1"/>
      <c r="I120" s="1"/>
      <c r="J120" s="5"/>
      <c r="K120" s="5"/>
      <c r="L120" s="5"/>
      <c r="M120" s="5"/>
      <c r="N120" s="5"/>
      <c r="O120" s="5"/>
      <c r="P120" s="448" t="s">
        <v>69</v>
      </c>
      <c r="Q120" s="449"/>
      <c r="R120" s="450">
        <v>625</v>
      </c>
      <c r="S120" s="451"/>
      <c r="T120" s="5"/>
      <c r="U120" s="16">
        <v>112.5</v>
      </c>
      <c r="V120" s="16">
        <v>75.099999999999994</v>
      </c>
      <c r="W120" s="16">
        <v>112.5</v>
      </c>
      <c r="X120" s="5"/>
      <c r="Z120" s="5"/>
      <c r="AC120" s="5"/>
    </row>
    <row r="121" spans="6:29" ht="15" customHeight="1" x14ac:dyDescent="0.2">
      <c r="F121" s="1"/>
      <c r="G121" s="1"/>
      <c r="H121" s="1"/>
      <c r="I121" s="1"/>
      <c r="J121" s="5"/>
      <c r="K121" s="5"/>
      <c r="L121" s="5"/>
      <c r="M121" s="5"/>
      <c r="N121" s="5"/>
      <c r="O121" s="5"/>
      <c r="P121" s="448" t="s">
        <v>70</v>
      </c>
      <c r="Q121" s="449"/>
      <c r="R121" s="450">
        <v>650</v>
      </c>
      <c r="S121" s="451"/>
      <c r="T121" s="5"/>
      <c r="U121" s="16">
        <v>150</v>
      </c>
      <c r="V121" s="16">
        <v>112.6</v>
      </c>
      <c r="W121" s="16">
        <v>150</v>
      </c>
      <c r="X121" s="5"/>
      <c r="Z121" s="5"/>
      <c r="AC121" s="5"/>
    </row>
    <row r="122" spans="6:29" ht="15" customHeight="1" x14ac:dyDescent="0.2">
      <c r="F122" s="1"/>
      <c r="G122" s="1"/>
      <c r="H122" s="1"/>
      <c r="I122" s="1"/>
      <c r="J122" s="5"/>
      <c r="K122" s="5"/>
      <c r="L122" s="5"/>
      <c r="M122" s="5"/>
      <c r="N122" s="5"/>
      <c r="O122" s="5"/>
      <c r="P122" s="452">
        <v>2000</v>
      </c>
      <c r="Q122" s="452"/>
      <c r="R122" s="452">
        <v>665</v>
      </c>
      <c r="S122" s="452"/>
      <c r="T122" s="5"/>
      <c r="U122" s="16">
        <v>225</v>
      </c>
      <c r="V122" s="16">
        <v>150.1</v>
      </c>
      <c r="W122" s="16">
        <v>225</v>
      </c>
      <c r="X122" s="5"/>
      <c r="Z122" s="5"/>
      <c r="AC122" s="5"/>
    </row>
    <row r="123" spans="6:29" ht="15" customHeight="1" x14ac:dyDescent="0.2">
      <c r="F123" s="1"/>
      <c r="G123" s="1"/>
      <c r="H123" s="1"/>
      <c r="I123" s="1"/>
      <c r="J123" s="5"/>
      <c r="K123" s="5"/>
      <c r="L123" s="5"/>
      <c r="M123" s="5"/>
      <c r="N123" s="5"/>
      <c r="O123" s="5"/>
      <c r="T123" s="5"/>
      <c r="U123" s="16">
        <v>300</v>
      </c>
      <c r="V123" s="16">
        <v>225.1</v>
      </c>
      <c r="W123" s="16">
        <v>300</v>
      </c>
      <c r="X123" s="5"/>
      <c r="Z123" s="5"/>
      <c r="AC123" s="5"/>
    </row>
    <row r="124" spans="6:29" ht="15" customHeight="1" x14ac:dyDescent="0.2">
      <c r="F124" s="1"/>
      <c r="G124" s="1"/>
      <c r="H124" s="1"/>
      <c r="I124" s="1"/>
      <c r="J124" s="5"/>
      <c r="K124" s="5"/>
      <c r="L124" s="5"/>
      <c r="M124" s="5"/>
      <c r="N124" s="5"/>
      <c r="O124" s="5"/>
      <c r="T124" s="5"/>
      <c r="U124" s="16">
        <v>500</v>
      </c>
      <c r="V124" s="16">
        <v>300.10000000000002</v>
      </c>
      <c r="W124" s="16">
        <v>500</v>
      </c>
      <c r="X124" s="5"/>
      <c r="Z124" s="5"/>
      <c r="AC124" s="5"/>
    </row>
    <row r="125" spans="6:29" ht="15" customHeight="1" x14ac:dyDescent="0.2">
      <c r="F125" s="1"/>
      <c r="G125" s="1"/>
      <c r="H125" s="1"/>
      <c r="I125" s="1"/>
      <c r="J125" s="5"/>
      <c r="K125" s="5"/>
      <c r="L125" s="5"/>
      <c r="M125" s="5"/>
      <c r="N125" s="5"/>
      <c r="O125" s="5"/>
      <c r="T125" s="5"/>
      <c r="U125" s="16">
        <v>750</v>
      </c>
      <c r="V125" s="16">
        <v>500.1</v>
      </c>
      <c r="W125" s="16">
        <v>750</v>
      </c>
      <c r="X125" s="5"/>
      <c r="Z125" s="5"/>
      <c r="AC125" s="5"/>
    </row>
    <row r="126" spans="6:29" ht="15" customHeight="1" x14ac:dyDescent="0.2">
      <c r="F126" s="1"/>
      <c r="G126" s="1"/>
      <c r="H126" s="1"/>
      <c r="I126" s="1"/>
      <c r="J126" s="5"/>
      <c r="K126" s="5"/>
      <c r="L126" s="5"/>
      <c r="M126" s="5"/>
      <c r="N126" s="5"/>
      <c r="O126" s="5"/>
      <c r="T126" s="5"/>
      <c r="U126" s="92">
        <v>1000</v>
      </c>
      <c r="V126" s="92">
        <v>750.1</v>
      </c>
      <c r="W126" s="92">
        <v>1000</v>
      </c>
      <c r="X126" s="5"/>
      <c r="Z126" s="5"/>
      <c r="AC126" s="5"/>
    </row>
    <row r="127" spans="6:29" ht="15" customHeight="1" x14ac:dyDescent="0.2">
      <c r="F127" s="1"/>
      <c r="G127" s="1"/>
      <c r="H127" s="1"/>
      <c r="I127" s="1"/>
      <c r="J127" s="5"/>
      <c r="K127" s="5"/>
      <c r="L127" s="5"/>
      <c r="M127" s="5"/>
      <c r="N127" s="5"/>
      <c r="O127" s="5"/>
      <c r="T127" s="5"/>
      <c r="V127" s="5"/>
      <c r="W127" s="5"/>
      <c r="X127" s="5"/>
      <c r="Z127" s="5"/>
      <c r="AC127" s="5"/>
    </row>
    <row r="128" spans="6:29" ht="15" customHeight="1" x14ac:dyDescent="0.2">
      <c r="F128" s="1"/>
      <c r="G128" s="1"/>
      <c r="H128" s="1"/>
      <c r="I128" s="1"/>
      <c r="J128" s="5"/>
      <c r="K128" s="5"/>
      <c r="L128" s="5"/>
      <c r="M128" s="5"/>
      <c r="N128" s="5"/>
      <c r="O128" s="5"/>
      <c r="T128" s="5"/>
      <c r="V128" s="5"/>
      <c r="W128" s="5"/>
      <c r="X128" s="5"/>
      <c r="Z128" s="5"/>
      <c r="AC128" s="5"/>
    </row>
    <row r="129" spans="6:29" ht="15" customHeight="1" x14ac:dyDescent="0.2">
      <c r="F129" s="1"/>
      <c r="G129" s="1"/>
      <c r="H129" s="1"/>
      <c r="I129" s="1"/>
      <c r="J129" s="5"/>
      <c r="K129" s="5"/>
      <c r="L129" s="5"/>
      <c r="M129" s="5"/>
      <c r="N129" s="5"/>
      <c r="O129" s="5"/>
      <c r="T129" s="5"/>
      <c r="V129" s="5"/>
      <c r="W129" s="5"/>
      <c r="X129" s="5"/>
      <c r="Z129" s="5"/>
      <c r="AC129" s="5"/>
    </row>
    <row r="130" spans="6:29" ht="15" customHeight="1" x14ac:dyDescent="0.2">
      <c r="F130" s="1"/>
      <c r="G130" s="1"/>
      <c r="H130" s="1"/>
      <c r="I130" s="1"/>
      <c r="J130" s="5"/>
      <c r="K130" s="5"/>
      <c r="L130" s="5"/>
      <c r="M130" s="5"/>
      <c r="N130" s="5"/>
      <c r="O130" s="5"/>
      <c r="T130" s="5"/>
      <c r="V130" s="5"/>
      <c r="W130" s="5"/>
      <c r="X130" s="5"/>
      <c r="Z130" s="5"/>
      <c r="AC130" s="5"/>
    </row>
    <row r="131" spans="6:29" ht="15" customHeight="1" x14ac:dyDescent="0.2">
      <c r="F131" s="1"/>
      <c r="G131" s="1"/>
      <c r="H131" s="1"/>
      <c r="I131" s="1"/>
      <c r="J131" s="5"/>
      <c r="K131" s="5"/>
      <c r="L131" s="5"/>
      <c r="M131" s="5"/>
      <c r="N131" s="5"/>
      <c r="O131" s="5"/>
      <c r="T131" s="5"/>
      <c r="V131" s="5"/>
      <c r="W131" s="5"/>
      <c r="X131" s="5"/>
      <c r="Z131" s="5"/>
      <c r="AC131" s="5"/>
    </row>
    <row r="132" spans="6:29" ht="15" customHeight="1" x14ac:dyDescent="0.2">
      <c r="F132" s="1"/>
      <c r="G132" s="1"/>
      <c r="H132" s="1"/>
      <c r="I132" s="1"/>
      <c r="J132" s="5"/>
      <c r="K132" s="5"/>
      <c r="L132" s="5"/>
      <c r="M132" s="5"/>
      <c r="N132" s="5"/>
      <c r="O132" s="5"/>
      <c r="T132" s="5"/>
      <c r="V132" s="5"/>
      <c r="W132" s="5"/>
      <c r="X132" s="5"/>
      <c r="Z132" s="5"/>
      <c r="AC132" s="5"/>
    </row>
    <row r="133" spans="6:29" ht="15" customHeight="1" x14ac:dyDescent="0.2">
      <c r="F133" s="1"/>
      <c r="G133" s="1"/>
      <c r="H133" s="1"/>
      <c r="I133" s="1"/>
      <c r="J133" s="5"/>
      <c r="K133" s="5"/>
      <c r="L133" s="5"/>
      <c r="M133" s="5"/>
      <c r="N133" s="5"/>
      <c r="O133" s="5"/>
      <c r="T133" s="5"/>
      <c r="V133" s="5"/>
      <c r="W133" s="5"/>
      <c r="X133" s="5"/>
      <c r="Z133" s="5"/>
      <c r="AC133" s="5"/>
    </row>
    <row r="134" spans="6:29" ht="15" customHeight="1" x14ac:dyDescent="0.2">
      <c r="F134" s="1"/>
      <c r="G134" s="1"/>
      <c r="H134" s="1"/>
      <c r="I134" s="1"/>
      <c r="J134" s="5"/>
      <c r="K134" s="5"/>
      <c r="L134" s="5"/>
      <c r="M134" s="5"/>
      <c r="N134" s="5"/>
      <c r="O134" s="5"/>
      <c r="T134" s="5"/>
      <c r="V134" s="5"/>
      <c r="W134" s="5"/>
      <c r="X134" s="5"/>
      <c r="Z134" s="5"/>
      <c r="AC134" s="5"/>
    </row>
    <row r="135" spans="6:29" ht="15" customHeight="1" x14ac:dyDescent="0.2">
      <c r="F135" s="1"/>
      <c r="G135" s="1"/>
      <c r="H135" s="1"/>
      <c r="I135" s="1"/>
      <c r="J135" s="5"/>
      <c r="K135" s="5"/>
      <c r="L135" s="5"/>
      <c r="M135" s="5"/>
      <c r="N135" s="5"/>
      <c r="O135" s="5"/>
      <c r="T135" s="5"/>
      <c r="V135" s="5"/>
      <c r="W135" s="5"/>
      <c r="X135" s="5"/>
      <c r="Z135" s="5"/>
      <c r="AC135" s="5"/>
    </row>
    <row r="136" spans="6:29" ht="15" customHeight="1" x14ac:dyDescent="0.2">
      <c r="F136" s="1"/>
      <c r="G136" s="1"/>
      <c r="H136" s="1"/>
      <c r="I136" s="1"/>
      <c r="J136" s="5"/>
      <c r="K136" s="5"/>
      <c r="L136" s="5"/>
      <c r="M136" s="5"/>
      <c r="N136" s="5"/>
      <c r="O136" s="5"/>
      <c r="T136" s="5"/>
      <c r="V136" s="5"/>
      <c r="W136" s="5"/>
      <c r="X136" s="5"/>
      <c r="Z136" s="5"/>
      <c r="AC136" s="5"/>
    </row>
    <row r="137" spans="6:29" ht="15" customHeight="1" x14ac:dyDescent="0.2">
      <c r="F137" s="1"/>
      <c r="G137" s="1"/>
      <c r="H137" s="22"/>
      <c r="I137" s="1"/>
      <c r="J137" s="5"/>
      <c r="K137" s="5"/>
      <c r="L137" s="5"/>
      <c r="M137" s="5"/>
      <c r="N137" s="5"/>
      <c r="O137" s="5"/>
      <c r="T137" s="5"/>
      <c r="V137" s="5"/>
      <c r="W137" s="5"/>
      <c r="X137" s="5"/>
      <c r="Z137" s="5"/>
      <c r="AC137" s="5"/>
    </row>
    <row r="138" spans="6:29" ht="15" customHeight="1" x14ac:dyDescent="0.2">
      <c r="F138" s="1"/>
      <c r="G138" s="1"/>
      <c r="H138" s="1"/>
      <c r="I138" s="1"/>
      <c r="J138" s="5"/>
      <c r="K138" s="5"/>
      <c r="L138" s="5"/>
      <c r="M138" s="5"/>
      <c r="N138" s="5"/>
      <c r="O138" s="5"/>
      <c r="T138" s="5"/>
      <c r="V138" s="5"/>
      <c r="W138" s="5"/>
      <c r="X138" s="5"/>
      <c r="Z138" s="5"/>
      <c r="AC138" s="5"/>
    </row>
    <row r="139" spans="6:29" ht="15" customHeight="1" x14ac:dyDescent="0.2">
      <c r="F139" s="1"/>
      <c r="G139" s="1"/>
      <c r="H139" s="1"/>
      <c r="I139" s="1"/>
      <c r="J139" s="5"/>
      <c r="K139" s="5"/>
      <c r="L139" s="5"/>
      <c r="M139" s="5"/>
      <c r="N139" s="5"/>
      <c r="O139" s="5"/>
      <c r="T139" s="5"/>
      <c r="V139" s="5"/>
      <c r="W139" s="5"/>
      <c r="X139" s="5"/>
      <c r="Z139" s="5"/>
      <c r="AC139" s="5"/>
    </row>
    <row r="140" spans="6:29" ht="15" customHeight="1" x14ac:dyDescent="0.2">
      <c r="F140" s="1"/>
      <c r="G140" s="1"/>
      <c r="H140" s="1"/>
      <c r="I140" s="1"/>
      <c r="J140" s="5"/>
      <c r="K140" s="5"/>
      <c r="L140" s="5"/>
      <c r="M140" s="5"/>
      <c r="N140" s="5"/>
      <c r="O140" s="5"/>
      <c r="T140" s="5"/>
      <c r="V140" s="5"/>
      <c r="W140" s="5"/>
      <c r="X140" s="5"/>
      <c r="Z140" s="5"/>
      <c r="AC140" s="5"/>
    </row>
    <row r="141" spans="6:29" ht="15" customHeight="1" x14ac:dyDescent="0.2">
      <c r="F141" s="1"/>
      <c r="G141" s="1"/>
      <c r="H141" s="1"/>
      <c r="I141" s="1"/>
      <c r="J141" s="5"/>
      <c r="K141" s="5"/>
      <c r="L141" s="5"/>
      <c r="M141" s="5"/>
      <c r="N141" s="5"/>
      <c r="O141" s="5"/>
      <c r="T141" s="5"/>
      <c r="V141" s="5"/>
      <c r="W141" s="5"/>
      <c r="X141" s="5"/>
      <c r="Z141" s="5"/>
      <c r="AC141" s="5"/>
    </row>
    <row r="142" spans="6:29" ht="15" customHeight="1" x14ac:dyDescent="0.2">
      <c r="F142" s="1"/>
      <c r="G142" s="1"/>
      <c r="H142" s="1"/>
      <c r="I142" s="1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V142" s="5"/>
      <c r="W142" s="5"/>
      <c r="X142" s="5"/>
      <c r="Z142" s="5"/>
      <c r="AC142" s="5"/>
    </row>
    <row r="143" spans="6:29" ht="15" customHeight="1" x14ac:dyDescent="0.2">
      <c r="F143" s="1"/>
      <c r="G143" s="1"/>
      <c r="H143" s="1"/>
      <c r="I143" s="1"/>
      <c r="J143" s="5"/>
      <c r="K143" s="5"/>
      <c r="L143" s="5"/>
      <c r="M143" s="5"/>
      <c r="N143" s="5"/>
      <c r="O143" s="5"/>
      <c r="T143" s="5"/>
      <c r="V143" s="5"/>
      <c r="W143" s="5"/>
      <c r="X143" s="5"/>
      <c r="Z143" s="5"/>
      <c r="AC143" s="5"/>
    </row>
    <row r="144" spans="6:29" ht="15" customHeight="1" x14ac:dyDescent="0.2">
      <c r="F144" s="1"/>
      <c r="G144" s="1"/>
      <c r="H144" s="1"/>
      <c r="I144" s="1"/>
      <c r="J144" s="5"/>
      <c r="K144" s="5"/>
      <c r="L144" s="5"/>
      <c r="M144" s="5"/>
      <c r="N144" s="5"/>
      <c r="O144" s="5"/>
      <c r="T144" s="5"/>
      <c r="V144" s="5"/>
      <c r="W144" s="5"/>
      <c r="X144" s="5"/>
      <c r="Z144" s="5"/>
      <c r="AC144" s="5"/>
    </row>
    <row r="145" spans="6:29" ht="15" customHeight="1" x14ac:dyDescent="0.2">
      <c r="F145" s="1"/>
      <c r="G145" s="1"/>
      <c r="H145" s="1"/>
      <c r="I145" s="1"/>
      <c r="J145" s="5"/>
      <c r="K145" s="5"/>
      <c r="L145" s="5"/>
      <c r="M145" s="5"/>
      <c r="N145" s="5"/>
      <c r="O145" s="5"/>
      <c r="T145" s="5"/>
      <c r="V145" s="5"/>
      <c r="W145" s="5"/>
      <c r="X145" s="5"/>
      <c r="Z145" s="5"/>
      <c r="AC145" s="5"/>
    </row>
    <row r="146" spans="6:29" ht="15" customHeight="1" x14ac:dyDescent="0.2">
      <c r="F146" s="1"/>
      <c r="G146" s="1"/>
      <c r="H146" s="1"/>
      <c r="I146" s="1"/>
      <c r="J146" s="5"/>
      <c r="K146" s="5"/>
      <c r="L146" s="5"/>
      <c r="M146" s="5"/>
      <c r="N146" s="5"/>
      <c r="O146" s="5"/>
      <c r="T146" s="5"/>
      <c r="V146" s="5"/>
      <c r="W146" s="5"/>
      <c r="X146" s="5"/>
      <c r="Z146" s="5"/>
      <c r="AC146" s="5"/>
    </row>
    <row r="147" spans="6:29" ht="15" customHeight="1" x14ac:dyDescent="0.2">
      <c r="F147" s="1"/>
      <c r="G147" s="1"/>
      <c r="H147" s="1"/>
      <c r="I147" s="1"/>
      <c r="J147" s="5"/>
      <c r="K147" s="5"/>
      <c r="L147" s="5"/>
      <c r="M147" s="5"/>
      <c r="N147" s="5"/>
      <c r="O147" s="5"/>
      <c r="T147" s="5"/>
      <c r="V147" s="5"/>
      <c r="W147" s="5"/>
      <c r="X147" s="5"/>
      <c r="Z147" s="5"/>
      <c r="AC147" s="5"/>
    </row>
    <row r="148" spans="6:29" ht="15" customHeight="1" x14ac:dyDescent="0.2">
      <c r="F148" s="1"/>
      <c r="G148" s="1"/>
      <c r="H148" s="1"/>
      <c r="I148" s="1"/>
      <c r="J148" s="5"/>
      <c r="K148" s="5"/>
      <c r="L148" s="5"/>
      <c r="M148" s="5"/>
      <c r="N148" s="5"/>
      <c r="O148" s="5"/>
      <c r="T148" s="5"/>
      <c r="V148" s="5"/>
      <c r="W148" s="5"/>
      <c r="X148" s="5"/>
      <c r="Z148" s="5"/>
      <c r="AC148" s="5"/>
    </row>
    <row r="149" spans="6:29" ht="15" customHeight="1" x14ac:dyDescent="0.2">
      <c r="F149" s="1"/>
      <c r="G149" s="1"/>
      <c r="H149" s="1"/>
      <c r="I149" s="1"/>
      <c r="J149" s="5"/>
      <c r="K149" s="5"/>
      <c r="L149" s="5"/>
      <c r="M149" s="5"/>
      <c r="N149" s="5"/>
      <c r="O149" s="5"/>
      <c r="T149" s="5"/>
      <c r="V149" s="5"/>
      <c r="W149" s="5"/>
      <c r="X149" s="5"/>
      <c r="Z149" s="5"/>
      <c r="AC149" s="5"/>
    </row>
    <row r="150" spans="6:29" ht="15" customHeight="1" x14ac:dyDescent="0.2">
      <c r="F150" s="1"/>
      <c r="G150" s="1"/>
      <c r="H150" s="1"/>
      <c r="I150" s="1"/>
      <c r="J150" s="5"/>
      <c r="K150" s="5"/>
      <c r="L150" s="5"/>
      <c r="M150" s="5"/>
      <c r="N150" s="5"/>
      <c r="O150" s="5"/>
      <c r="T150" s="5"/>
      <c r="V150" s="5"/>
      <c r="W150" s="5"/>
      <c r="X150" s="5"/>
      <c r="Z150" s="5"/>
      <c r="AC150" s="5"/>
    </row>
    <row r="151" spans="6:29" ht="15" customHeight="1" x14ac:dyDescent="0.2">
      <c r="F151" s="1"/>
      <c r="G151" s="1"/>
      <c r="H151" s="1"/>
      <c r="I151" s="1"/>
      <c r="J151" s="5"/>
      <c r="K151" s="5"/>
      <c r="L151" s="5"/>
      <c r="M151" s="5"/>
      <c r="N151" s="5"/>
      <c r="O151" s="5"/>
      <c r="T151" s="5"/>
      <c r="V151" s="5"/>
      <c r="W151" s="5"/>
      <c r="X151" s="5"/>
      <c r="Z151" s="5"/>
      <c r="AC151" s="5"/>
    </row>
    <row r="152" spans="6:29" ht="15" customHeight="1" x14ac:dyDescent="0.2">
      <c r="F152" s="1"/>
      <c r="G152" s="1"/>
      <c r="H152" s="1"/>
      <c r="I152" s="1"/>
      <c r="J152" s="5"/>
      <c r="K152" s="5"/>
      <c r="L152" s="5"/>
      <c r="M152" s="5"/>
      <c r="N152" s="5"/>
      <c r="O152" s="5"/>
      <c r="T152" s="5"/>
      <c r="V152" s="5"/>
      <c r="W152" s="5"/>
      <c r="X152" s="5"/>
      <c r="Z152" s="5"/>
      <c r="AC152" s="5"/>
    </row>
    <row r="153" spans="6:29" ht="15" customHeight="1" x14ac:dyDescent="0.2">
      <c r="F153" s="1"/>
      <c r="G153" s="1"/>
      <c r="H153" s="1"/>
      <c r="I153" s="1"/>
      <c r="J153" s="5"/>
      <c r="K153" s="5"/>
      <c r="L153" s="5"/>
      <c r="M153" s="5"/>
      <c r="N153" s="5"/>
      <c r="O153" s="5"/>
      <c r="T153" s="5"/>
      <c r="V153" s="5"/>
      <c r="W153" s="5"/>
      <c r="X153" s="5"/>
      <c r="Z153" s="5"/>
      <c r="AC153" s="5"/>
    </row>
    <row r="154" spans="6:29" ht="15" customHeight="1" x14ac:dyDescent="0.2">
      <c r="F154" s="1"/>
      <c r="G154" s="1"/>
      <c r="H154" s="1"/>
      <c r="I154" s="1"/>
      <c r="J154" s="5"/>
      <c r="K154" s="5"/>
      <c r="L154" s="5"/>
      <c r="M154" s="5"/>
      <c r="N154" s="5"/>
      <c r="O154" s="5"/>
      <c r="T154" s="5"/>
      <c r="V154" s="5"/>
      <c r="W154" s="5"/>
      <c r="X154" s="5"/>
      <c r="Z154" s="5"/>
      <c r="AC154" s="5"/>
    </row>
    <row r="155" spans="6:29" ht="15" customHeight="1" x14ac:dyDescent="0.2">
      <c r="F155" s="1"/>
      <c r="G155" s="1"/>
      <c r="H155" s="1"/>
      <c r="I155" s="1"/>
      <c r="J155" s="5"/>
      <c r="K155" s="5"/>
      <c r="L155" s="5"/>
      <c r="M155" s="5"/>
      <c r="N155" s="5"/>
      <c r="O155" s="5"/>
      <c r="T155" s="5"/>
      <c r="V155" s="5"/>
      <c r="W155" s="5"/>
      <c r="X155" s="5"/>
      <c r="Z155" s="5"/>
      <c r="AC155" s="5"/>
    </row>
    <row r="156" spans="6:29" ht="15" customHeight="1" x14ac:dyDescent="0.2">
      <c r="F156" s="1"/>
      <c r="G156" s="1"/>
      <c r="H156" s="1"/>
      <c r="I156" s="1"/>
      <c r="J156" s="5"/>
      <c r="K156" s="5"/>
      <c r="L156" s="5"/>
      <c r="M156" s="5"/>
      <c r="N156" s="5"/>
      <c r="O156" s="5"/>
      <c r="T156" s="5"/>
      <c r="V156" s="5"/>
      <c r="W156" s="5"/>
      <c r="X156" s="5"/>
      <c r="Z156" s="5"/>
      <c r="AC156" s="5"/>
    </row>
    <row r="157" spans="6:29" ht="15" customHeight="1" x14ac:dyDescent="0.2">
      <c r="F157" s="1"/>
      <c r="G157" s="1"/>
      <c r="H157" s="23"/>
      <c r="I157" s="23"/>
    </row>
    <row r="158" spans="6:29" ht="15" customHeight="1" x14ac:dyDescent="0.2">
      <c r="F158" s="1"/>
      <c r="G158" s="1"/>
      <c r="H158" s="23"/>
      <c r="I158" s="23"/>
    </row>
    <row r="159" spans="6:29" ht="15" customHeight="1" x14ac:dyDescent="0.2">
      <c r="F159" s="1"/>
      <c r="G159" s="1"/>
      <c r="H159" s="23"/>
      <c r="I159" s="23"/>
    </row>
    <row r="160" spans="6:29" ht="15" customHeight="1" x14ac:dyDescent="0.2">
      <c r="F160" s="1"/>
      <c r="G160" s="1"/>
      <c r="H160" s="23"/>
      <c r="I160" s="23"/>
    </row>
    <row r="161" spans="6:9" ht="15" customHeight="1" x14ac:dyDescent="0.2">
      <c r="F161" s="1"/>
      <c r="G161" s="1"/>
      <c r="H161" s="23"/>
      <c r="I161" s="23"/>
    </row>
    <row r="162" spans="6:9" ht="15" customHeight="1" x14ac:dyDescent="0.2">
      <c r="F162" s="1"/>
      <c r="G162" s="1"/>
      <c r="H162" s="23"/>
      <c r="I162" s="23"/>
    </row>
    <row r="163" spans="6:9" ht="15" customHeight="1" x14ac:dyDescent="0.2">
      <c r="F163" s="1"/>
      <c r="G163" s="1"/>
      <c r="H163" s="23"/>
      <c r="I163" s="23"/>
    </row>
    <row r="164" spans="6:9" ht="15" customHeight="1" x14ac:dyDescent="0.2">
      <c r="F164" s="1"/>
      <c r="G164" s="1"/>
      <c r="H164" s="23"/>
      <c r="I164" s="23"/>
    </row>
    <row r="165" spans="6:9" ht="15" customHeight="1" x14ac:dyDescent="0.2">
      <c r="F165" s="1"/>
      <c r="G165" s="1"/>
      <c r="H165" s="23"/>
      <c r="I165" s="23"/>
    </row>
    <row r="166" spans="6:9" ht="15" customHeight="1" x14ac:dyDescent="0.2">
      <c r="F166" s="1"/>
      <c r="G166" s="1"/>
      <c r="H166" s="23"/>
      <c r="I166" s="23"/>
    </row>
    <row r="167" spans="6:9" ht="15" customHeight="1" x14ac:dyDescent="0.2">
      <c r="F167" s="1"/>
      <c r="G167" s="1"/>
      <c r="H167" s="23"/>
      <c r="I167" s="23"/>
    </row>
    <row r="168" spans="6:9" ht="15" customHeight="1" x14ac:dyDescent="0.2">
      <c r="F168" s="1"/>
      <c r="G168" s="1"/>
      <c r="H168" s="23"/>
      <c r="I168" s="23"/>
    </row>
    <row r="169" spans="6:9" ht="15" customHeight="1" x14ac:dyDescent="0.2">
      <c r="F169" s="1"/>
      <c r="G169" s="1"/>
      <c r="H169" s="23"/>
      <c r="I169" s="23"/>
    </row>
    <row r="170" spans="6:9" ht="15" customHeight="1" x14ac:dyDescent="0.2">
      <c r="F170" s="1"/>
      <c r="G170" s="1"/>
      <c r="H170" s="23"/>
      <c r="I170" s="23"/>
    </row>
    <row r="171" spans="6:9" ht="15" customHeight="1" x14ac:dyDescent="0.2">
      <c r="F171" s="1"/>
      <c r="G171" s="1"/>
      <c r="H171" s="23"/>
      <c r="I171" s="23"/>
    </row>
    <row r="172" spans="6:9" ht="15" customHeight="1" x14ac:dyDescent="0.2">
      <c r="F172" s="1"/>
      <c r="G172" s="1"/>
      <c r="H172" s="23"/>
      <c r="I172" s="23"/>
    </row>
    <row r="173" spans="6:9" ht="15" customHeight="1" x14ac:dyDescent="0.2">
      <c r="F173" s="1"/>
      <c r="G173" s="1"/>
      <c r="H173" s="23"/>
      <c r="I173" s="23"/>
    </row>
    <row r="174" spans="6:9" ht="15" customHeight="1" x14ac:dyDescent="0.2">
      <c r="F174" s="1"/>
      <c r="G174" s="1"/>
      <c r="H174" s="23"/>
      <c r="I174" s="23"/>
    </row>
    <row r="175" spans="6:9" ht="15" customHeight="1" x14ac:dyDescent="0.2">
      <c r="F175" s="1"/>
      <c r="G175" s="1"/>
      <c r="H175" s="23"/>
      <c r="I175" s="23"/>
    </row>
    <row r="176" spans="6:9" ht="15" customHeight="1" x14ac:dyDescent="0.2">
      <c r="F176" s="1"/>
      <c r="G176" s="1"/>
      <c r="H176" s="23"/>
      <c r="I176" s="23"/>
    </row>
    <row r="177" spans="6:9" ht="15" customHeight="1" x14ac:dyDescent="0.2">
      <c r="F177" s="1"/>
      <c r="G177" s="1"/>
      <c r="H177" s="23"/>
      <c r="I177" s="23"/>
    </row>
    <row r="178" spans="6:9" ht="15" customHeight="1" x14ac:dyDescent="0.2">
      <c r="F178" s="1"/>
      <c r="G178" s="1"/>
      <c r="H178" s="23"/>
      <c r="I178" s="23"/>
    </row>
    <row r="179" spans="6:9" ht="15" customHeight="1" x14ac:dyDescent="0.2">
      <c r="F179" s="1"/>
      <c r="G179" s="1"/>
      <c r="H179" s="23"/>
      <c r="I179" s="23"/>
    </row>
    <row r="180" spans="6:9" ht="15" customHeight="1" x14ac:dyDescent="0.2">
      <c r="F180" s="1"/>
      <c r="G180" s="1"/>
      <c r="H180" s="23"/>
      <c r="I180" s="23"/>
    </row>
    <row r="181" spans="6:9" ht="15" customHeight="1" x14ac:dyDescent="0.2">
      <c r="F181" s="1"/>
      <c r="G181" s="1"/>
      <c r="H181" s="23"/>
      <c r="I181" s="23"/>
    </row>
    <row r="182" spans="6:9" ht="15" customHeight="1" x14ac:dyDescent="0.2">
      <c r="F182" s="1"/>
      <c r="G182" s="1"/>
      <c r="H182" s="23"/>
      <c r="I182" s="23"/>
    </row>
    <row r="183" spans="6:9" ht="15" customHeight="1" x14ac:dyDescent="0.2">
      <c r="F183" s="1"/>
      <c r="G183" s="1"/>
      <c r="H183" s="23"/>
      <c r="I183" s="23"/>
    </row>
    <row r="184" spans="6:9" ht="15" customHeight="1" x14ac:dyDescent="0.2">
      <c r="F184" s="1"/>
      <c r="G184" s="1"/>
      <c r="H184" s="23"/>
      <c r="I184" s="23"/>
    </row>
    <row r="185" spans="6:9" ht="15" customHeight="1" x14ac:dyDescent="0.2">
      <c r="F185" s="1"/>
      <c r="G185" s="1"/>
      <c r="H185" s="23"/>
      <c r="I185" s="23"/>
    </row>
    <row r="186" spans="6:9" ht="15" customHeight="1" x14ac:dyDescent="0.2">
      <c r="F186" s="1"/>
      <c r="G186" s="1"/>
      <c r="H186" s="23"/>
      <c r="I186" s="23"/>
    </row>
    <row r="187" spans="6:9" ht="15" customHeight="1" x14ac:dyDescent="0.2">
      <c r="F187" s="1"/>
      <c r="G187" s="1"/>
      <c r="H187" s="23"/>
      <c r="I187" s="23"/>
    </row>
    <row r="188" spans="6:9" ht="15" customHeight="1" x14ac:dyDescent="0.2">
      <c r="F188" s="1"/>
      <c r="G188" s="1"/>
      <c r="H188" s="23"/>
      <c r="I188" s="23"/>
    </row>
    <row r="189" spans="6:9" ht="15" customHeight="1" x14ac:dyDescent="0.2">
      <c r="F189" s="1"/>
      <c r="G189" s="1"/>
      <c r="H189" s="23"/>
      <c r="I189" s="23"/>
    </row>
    <row r="190" spans="6:9" ht="15" customHeight="1" x14ac:dyDescent="0.2">
      <c r="F190" s="1"/>
      <c r="G190" s="1"/>
      <c r="H190" s="23"/>
      <c r="I190" s="23"/>
    </row>
    <row r="191" spans="6:9" ht="15" customHeight="1" x14ac:dyDescent="0.2">
      <c r="F191" s="1"/>
      <c r="G191" s="1"/>
      <c r="H191" s="23"/>
      <c r="I191" s="23"/>
    </row>
    <row r="192" spans="6:9" ht="15" customHeight="1" x14ac:dyDescent="0.2">
      <c r="F192" s="1"/>
      <c r="G192" s="1"/>
      <c r="H192" s="23"/>
      <c r="I192" s="23"/>
    </row>
    <row r="193" spans="6:9" ht="15" customHeight="1" x14ac:dyDescent="0.2">
      <c r="F193" s="1"/>
      <c r="G193" s="1"/>
      <c r="H193" s="23"/>
      <c r="I193" s="23"/>
    </row>
    <row r="194" spans="6:9" ht="15" customHeight="1" x14ac:dyDescent="0.2">
      <c r="F194" s="1"/>
      <c r="G194" s="1"/>
      <c r="H194" s="23"/>
      <c r="I194" s="23"/>
    </row>
    <row r="195" spans="6:9" ht="15" customHeight="1" x14ac:dyDescent="0.2">
      <c r="F195" s="1"/>
      <c r="G195" s="1"/>
      <c r="H195" s="23"/>
      <c r="I195" s="23"/>
    </row>
    <row r="196" spans="6:9" ht="15" customHeight="1" x14ac:dyDescent="0.2">
      <c r="F196" s="1"/>
      <c r="G196" s="1"/>
      <c r="H196" s="23"/>
      <c r="I196" s="23"/>
    </row>
    <row r="197" spans="6:9" ht="15" customHeight="1" x14ac:dyDescent="0.2">
      <c r="F197" s="1"/>
      <c r="G197" s="1"/>
      <c r="H197" s="23"/>
      <c r="I197" s="23"/>
    </row>
    <row r="198" spans="6:9" ht="15" customHeight="1" x14ac:dyDescent="0.2">
      <c r="F198" s="1"/>
      <c r="G198" s="1"/>
      <c r="H198" s="23"/>
      <c r="I198" s="23"/>
    </row>
    <row r="199" spans="6:9" ht="15" customHeight="1" x14ac:dyDescent="0.2">
      <c r="F199" s="1"/>
      <c r="G199" s="1"/>
      <c r="H199" s="23"/>
      <c r="I199" s="23"/>
    </row>
    <row r="200" spans="6:9" ht="15" customHeight="1" x14ac:dyDescent="0.2">
      <c r="F200" s="1"/>
      <c r="G200" s="1"/>
      <c r="H200" s="23"/>
      <c r="I200" s="23"/>
    </row>
    <row r="201" spans="6:9" ht="15" customHeight="1" x14ac:dyDescent="0.2">
      <c r="F201" s="1"/>
      <c r="G201" s="1"/>
      <c r="H201" s="23"/>
      <c r="I201" s="23"/>
    </row>
    <row r="202" spans="6:9" ht="15" customHeight="1" x14ac:dyDescent="0.2">
      <c r="F202" s="1"/>
      <c r="G202" s="1"/>
      <c r="H202" s="23"/>
      <c r="I202" s="23"/>
    </row>
    <row r="203" spans="6:9" ht="15" customHeight="1" x14ac:dyDescent="0.2">
      <c r="F203" s="1"/>
      <c r="G203" s="1"/>
      <c r="H203" s="23"/>
      <c r="I203" s="23"/>
    </row>
    <row r="204" spans="6:9" ht="15" customHeight="1" x14ac:dyDescent="0.2">
      <c r="F204" s="1"/>
      <c r="G204" s="1"/>
      <c r="H204" s="23"/>
      <c r="I204" s="23"/>
    </row>
    <row r="205" spans="6:9" ht="15" customHeight="1" x14ac:dyDescent="0.2">
      <c r="F205" s="1"/>
      <c r="G205" s="1"/>
      <c r="H205" s="23"/>
      <c r="I205" s="23"/>
    </row>
    <row r="206" spans="6:9" ht="15" customHeight="1" x14ac:dyDescent="0.2">
      <c r="F206" s="1"/>
      <c r="G206" s="1"/>
      <c r="H206" s="23"/>
      <c r="I206" s="23"/>
    </row>
    <row r="207" spans="6:9" ht="15" customHeight="1" x14ac:dyDescent="0.2">
      <c r="F207" s="1"/>
      <c r="G207" s="1"/>
      <c r="H207" s="23"/>
      <c r="I207" s="23"/>
    </row>
    <row r="208" spans="6:9" ht="15" customHeight="1" x14ac:dyDescent="0.2">
      <c r="F208" s="1"/>
      <c r="G208" s="1"/>
      <c r="H208" s="23"/>
      <c r="I208" s="23"/>
    </row>
    <row r="209" spans="6:9" ht="15" customHeight="1" x14ac:dyDescent="0.2">
      <c r="F209" s="1"/>
      <c r="G209" s="1"/>
      <c r="H209" s="23"/>
      <c r="I209" s="23"/>
    </row>
    <row r="210" spans="6:9" ht="15" customHeight="1" x14ac:dyDescent="0.2">
      <c r="F210" s="1"/>
      <c r="G210" s="1"/>
      <c r="H210" s="23"/>
      <c r="I210" s="23"/>
    </row>
    <row r="211" spans="6:9" ht="15" customHeight="1" x14ac:dyDescent="0.2">
      <c r="F211" s="1"/>
      <c r="G211" s="1"/>
      <c r="H211" s="23"/>
      <c r="I211" s="23"/>
    </row>
    <row r="212" spans="6:9" ht="15" customHeight="1" x14ac:dyDescent="0.2">
      <c r="F212" s="1"/>
      <c r="G212" s="1"/>
      <c r="H212" s="23"/>
      <c r="I212" s="23"/>
    </row>
    <row r="213" spans="6:9" ht="15" customHeight="1" x14ac:dyDescent="0.2">
      <c r="F213" s="1"/>
      <c r="G213" s="1"/>
      <c r="H213" s="23"/>
      <c r="I213" s="23"/>
    </row>
    <row r="214" spans="6:9" ht="15" customHeight="1" x14ac:dyDescent="0.2">
      <c r="F214" s="1"/>
      <c r="G214" s="1"/>
      <c r="H214" s="23"/>
      <c r="I214" s="23"/>
    </row>
    <row r="215" spans="6:9" ht="15" customHeight="1" x14ac:dyDescent="0.2">
      <c r="F215" s="1"/>
      <c r="G215" s="1"/>
      <c r="H215" s="23"/>
      <c r="I215" s="23"/>
    </row>
    <row r="216" spans="6:9" ht="15" customHeight="1" x14ac:dyDescent="0.2">
      <c r="F216" s="1"/>
      <c r="G216" s="1"/>
      <c r="H216" s="23"/>
      <c r="I216" s="23"/>
    </row>
    <row r="217" spans="6:9" ht="15" customHeight="1" x14ac:dyDescent="0.2">
      <c r="F217" s="1"/>
      <c r="G217" s="1"/>
      <c r="H217" s="23"/>
      <c r="I217" s="23"/>
    </row>
    <row r="218" spans="6:9" ht="15" customHeight="1" x14ac:dyDescent="0.2">
      <c r="F218" s="1"/>
      <c r="G218" s="1"/>
      <c r="H218" s="23"/>
      <c r="I218" s="23"/>
    </row>
    <row r="219" spans="6:9" ht="15" customHeight="1" x14ac:dyDescent="0.2">
      <c r="F219" s="1"/>
      <c r="G219" s="1"/>
      <c r="H219" s="23"/>
      <c r="I219" s="23"/>
    </row>
    <row r="220" spans="6:9" ht="15" customHeight="1" x14ac:dyDescent="0.2">
      <c r="F220" s="1"/>
      <c r="G220" s="1"/>
      <c r="H220" s="23"/>
      <c r="I220" s="23"/>
    </row>
    <row r="221" spans="6:9" ht="15" customHeight="1" x14ac:dyDescent="0.2">
      <c r="F221" s="1"/>
      <c r="G221" s="1"/>
      <c r="H221" s="23"/>
      <c r="I221" s="23"/>
    </row>
    <row r="222" spans="6:9" ht="15" customHeight="1" x14ac:dyDescent="0.2">
      <c r="F222" s="1"/>
      <c r="G222" s="1"/>
      <c r="H222" s="23"/>
      <c r="I222" s="23"/>
    </row>
    <row r="223" spans="6:9" ht="15" customHeight="1" x14ac:dyDescent="0.2">
      <c r="F223" s="1"/>
      <c r="G223" s="1"/>
      <c r="H223" s="23"/>
      <c r="I223" s="23"/>
    </row>
    <row r="224" spans="6:9" ht="15" customHeight="1" x14ac:dyDescent="0.2">
      <c r="F224" s="1"/>
      <c r="G224" s="1"/>
      <c r="H224" s="23"/>
      <c r="I224" s="23"/>
    </row>
    <row r="225" spans="6:9" ht="15" customHeight="1" x14ac:dyDescent="0.2">
      <c r="F225" s="1"/>
      <c r="G225" s="1"/>
      <c r="H225" s="23"/>
      <c r="I225" s="23"/>
    </row>
    <row r="226" spans="6:9" ht="15" customHeight="1" x14ac:dyDescent="0.2">
      <c r="F226" s="1"/>
      <c r="G226" s="1"/>
      <c r="H226" s="23"/>
      <c r="I226" s="23"/>
    </row>
    <row r="227" spans="6:9" ht="15" customHeight="1" x14ac:dyDescent="0.2">
      <c r="F227" s="1"/>
      <c r="G227" s="1"/>
      <c r="H227" s="23"/>
      <c r="I227" s="23"/>
    </row>
    <row r="228" spans="6:9" ht="15" customHeight="1" x14ac:dyDescent="0.2">
      <c r="F228" s="1"/>
      <c r="G228" s="1"/>
      <c r="H228" s="23"/>
      <c r="I228" s="23"/>
    </row>
    <row r="229" spans="6:9" ht="15" customHeight="1" x14ac:dyDescent="0.2">
      <c r="F229" s="1"/>
      <c r="G229" s="1"/>
      <c r="H229" s="23"/>
      <c r="I229" s="23"/>
    </row>
    <row r="230" spans="6:9" ht="15" customHeight="1" x14ac:dyDescent="0.2">
      <c r="F230" s="1"/>
      <c r="G230" s="1"/>
      <c r="H230" s="23"/>
      <c r="I230" s="23"/>
    </row>
    <row r="231" spans="6:9" ht="15" customHeight="1" x14ac:dyDescent="0.2">
      <c r="F231" s="1"/>
      <c r="G231" s="1"/>
      <c r="H231" s="23"/>
      <c r="I231" s="23"/>
    </row>
    <row r="232" spans="6:9" ht="15" customHeight="1" x14ac:dyDescent="0.2">
      <c r="F232" s="1"/>
      <c r="G232" s="1"/>
      <c r="H232" s="23"/>
      <c r="I232" s="23"/>
    </row>
    <row r="233" spans="6:9" ht="15" customHeight="1" x14ac:dyDescent="0.2">
      <c r="F233" s="1"/>
      <c r="G233" s="1"/>
      <c r="H233" s="23"/>
      <c r="I233" s="23"/>
    </row>
    <row r="234" spans="6:9" ht="15" customHeight="1" x14ac:dyDescent="0.2">
      <c r="F234" s="1"/>
      <c r="G234" s="1"/>
      <c r="H234" s="23"/>
      <c r="I234" s="23"/>
    </row>
    <row r="235" spans="6:9" ht="15" customHeight="1" x14ac:dyDescent="0.2">
      <c r="F235" s="1"/>
      <c r="G235" s="1"/>
      <c r="H235" s="23"/>
      <c r="I235" s="23"/>
    </row>
    <row r="236" spans="6:9" ht="15" customHeight="1" x14ac:dyDescent="0.2">
      <c r="F236" s="1"/>
      <c r="G236" s="1"/>
      <c r="H236" s="23"/>
      <c r="I236" s="23"/>
    </row>
    <row r="237" spans="6:9" ht="15" customHeight="1" x14ac:dyDescent="0.2">
      <c r="F237" s="1"/>
      <c r="G237" s="1"/>
      <c r="H237" s="1"/>
      <c r="I237" s="1"/>
    </row>
    <row r="238" spans="6:9" ht="15" customHeight="1" x14ac:dyDescent="0.2">
      <c r="F238" s="1"/>
      <c r="G238" s="1"/>
      <c r="H238" s="1"/>
      <c r="I238" s="1"/>
    </row>
    <row r="239" spans="6:9" ht="15" customHeight="1" x14ac:dyDescent="0.2">
      <c r="F239" s="1"/>
      <c r="G239" s="1"/>
      <c r="H239" s="1"/>
      <c r="I239" s="1"/>
    </row>
    <row r="240" spans="6:9" ht="15" customHeight="1" x14ac:dyDescent="0.2">
      <c r="F240" s="1"/>
      <c r="G240" s="1"/>
      <c r="H240" s="1"/>
      <c r="I240" s="1"/>
    </row>
    <row r="241" spans="6:9" ht="15" customHeight="1" x14ac:dyDescent="0.2">
      <c r="F241" s="1"/>
      <c r="G241" s="1"/>
      <c r="H241" s="1"/>
      <c r="I241" s="1"/>
    </row>
    <row r="242" spans="6:9" ht="15" customHeight="1" x14ac:dyDescent="0.2">
      <c r="F242" s="1"/>
      <c r="G242" s="1"/>
      <c r="H242" s="1"/>
      <c r="I242" s="1"/>
    </row>
    <row r="243" spans="6:9" ht="15" customHeight="1" x14ac:dyDescent="0.2">
      <c r="F243" s="1"/>
      <c r="G243" s="1"/>
      <c r="H243" s="1"/>
      <c r="I243" s="1"/>
    </row>
    <row r="244" spans="6:9" ht="15" customHeight="1" x14ac:dyDescent="0.2">
      <c r="F244" s="1"/>
      <c r="G244" s="1"/>
      <c r="H244" s="1"/>
      <c r="I244" s="1"/>
    </row>
    <row r="245" spans="6:9" ht="15" customHeight="1" x14ac:dyDescent="0.2">
      <c r="F245" s="1"/>
      <c r="G245" s="1"/>
      <c r="H245" s="1"/>
      <c r="I245" s="1"/>
    </row>
    <row r="246" spans="6:9" ht="15" customHeight="1" x14ac:dyDescent="0.2">
      <c r="F246" s="1"/>
      <c r="G246" s="1"/>
      <c r="H246" s="1"/>
      <c r="I246" s="1"/>
    </row>
    <row r="247" spans="6:9" ht="15" customHeight="1" x14ac:dyDescent="0.2">
      <c r="F247" s="1"/>
      <c r="G247" s="1"/>
      <c r="H247" s="1"/>
      <c r="I247" s="1"/>
    </row>
    <row r="248" spans="6:9" ht="15" customHeight="1" x14ac:dyDescent="0.2">
      <c r="F248" s="1"/>
      <c r="G248" s="1"/>
      <c r="H248" s="1"/>
      <c r="I248" s="1"/>
    </row>
    <row r="249" spans="6:9" ht="15" customHeight="1" x14ac:dyDescent="0.2">
      <c r="F249" s="1"/>
      <c r="G249" s="1"/>
      <c r="H249" s="1"/>
      <c r="I249" s="1"/>
    </row>
    <row r="250" spans="6:9" ht="15" customHeight="1" x14ac:dyDescent="0.2">
      <c r="F250" s="1"/>
      <c r="G250" s="1"/>
      <c r="H250" s="1"/>
      <c r="I250" s="1"/>
    </row>
    <row r="251" spans="6:9" ht="15" customHeight="1" x14ac:dyDescent="0.2">
      <c r="F251" s="1"/>
      <c r="G251" s="1"/>
      <c r="H251" s="1"/>
      <c r="I251" s="1"/>
    </row>
    <row r="252" spans="6:9" ht="15" customHeight="1" x14ac:dyDescent="0.2">
      <c r="F252" s="1"/>
      <c r="G252" s="1"/>
      <c r="H252" s="1"/>
      <c r="I252" s="1"/>
    </row>
    <row r="253" spans="6:9" ht="15" customHeight="1" x14ac:dyDescent="0.2">
      <c r="F253" s="1"/>
      <c r="G253" s="1"/>
      <c r="H253" s="1"/>
      <c r="I253" s="1"/>
    </row>
    <row r="254" spans="6:9" ht="15" customHeight="1" x14ac:dyDescent="0.2">
      <c r="F254" s="1"/>
      <c r="G254" s="1"/>
      <c r="H254" s="1"/>
      <c r="I254" s="1"/>
    </row>
    <row r="255" spans="6:9" ht="15" customHeight="1" x14ac:dyDescent="0.2">
      <c r="F255" s="1"/>
      <c r="G255" s="1"/>
      <c r="H255" s="1"/>
      <c r="I255" s="1"/>
    </row>
    <row r="256" spans="6:9" ht="15" customHeight="1" x14ac:dyDescent="0.2">
      <c r="F256" s="1"/>
      <c r="G256" s="1"/>
      <c r="H256" s="1"/>
      <c r="I256" s="1"/>
    </row>
    <row r="257" spans="6:9" ht="15" customHeight="1" x14ac:dyDescent="0.2">
      <c r="F257" s="1"/>
      <c r="G257" s="1"/>
      <c r="H257" s="1"/>
      <c r="I257" s="1"/>
    </row>
    <row r="258" spans="6:9" ht="15" customHeight="1" x14ac:dyDescent="0.2">
      <c r="F258" s="1"/>
      <c r="G258" s="1"/>
      <c r="H258" s="1"/>
      <c r="I258" s="1"/>
    </row>
    <row r="259" spans="6:9" ht="15" customHeight="1" x14ac:dyDescent="0.2">
      <c r="F259" s="1"/>
      <c r="G259" s="1"/>
      <c r="H259" s="1"/>
      <c r="I259" s="1"/>
    </row>
    <row r="260" spans="6:9" ht="15" customHeight="1" x14ac:dyDescent="0.2">
      <c r="F260" s="1"/>
      <c r="G260" s="1"/>
      <c r="H260" s="1"/>
      <c r="I260" s="1"/>
    </row>
    <row r="261" spans="6:9" ht="15" customHeight="1" x14ac:dyDescent="0.2">
      <c r="F261" s="1"/>
      <c r="G261" s="1"/>
      <c r="H261" s="1"/>
      <c r="I261" s="1"/>
    </row>
    <row r="262" spans="6:9" ht="15" customHeight="1" x14ac:dyDescent="0.2">
      <c r="F262" s="1"/>
      <c r="G262" s="1"/>
      <c r="H262" s="1"/>
      <c r="I262" s="1"/>
    </row>
    <row r="263" spans="6:9" ht="15" customHeight="1" x14ac:dyDescent="0.2">
      <c r="F263" s="1"/>
      <c r="G263" s="1"/>
      <c r="H263" s="1"/>
      <c r="I263" s="1"/>
    </row>
    <row r="264" spans="6:9" ht="15" customHeight="1" x14ac:dyDescent="0.2">
      <c r="F264" s="1"/>
      <c r="G264" s="1"/>
      <c r="H264" s="1"/>
      <c r="I264" s="1"/>
    </row>
    <row r="265" spans="6:9" ht="15" customHeight="1" x14ac:dyDescent="0.2">
      <c r="F265" s="1"/>
      <c r="G265" s="1"/>
      <c r="H265" s="1"/>
      <c r="I265" s="1"/>
    </row>
    <row r="266" spans="6:9" ht="15" customHeight="1" x14ac:dyDescent="0.2">
      <c r="F266" s="1"/>
      <c r="G266" s="1"/>
      <c r="H266" s="1"/>
      <c r="I266" s="1"/>
    </row>
    <row r="267" spans="6:9" ht="15" customHeight="1" x14ac:dyDescent="0.2">
      <c r="F267" s="1"/>
      <c r="G267" s="1"/>
      <c r="H267" s="1"/>
      <c r="I267" s="1"/>
    </row>
    <row r="268" spans="6:9" ht="15" customHeight="1" x14ac:dyDescent="0.2">
      <c r="F268" s="1"/>
      <c r="G268" s="1"/>
      <c r="H268" s="1"/>
      <c r="I268" s="1"/>
    </row>
    <row r="269" spans="6:9" ht="15" customHeight="1" x14ac:dyDescent="0.2">
      <c r="F269" s="1"/>
      <c r="G269" s="1"/>
      <c r="H269" s="1"/>
      <c r="I269" s="1"/>
    </row>
    <row r="270" spans="6:9" ht="15" customHeight="1" x14ac:dyDescent="0.2">
      <c r="F270" s="1"/>
      <c r="G270" s="1"/>
      <c r="H270" s="1"/>
      <c r="I270" s="1"/>
    </row>
    <row r="271" spans="6:9" ht="15" customHeight="1" x14ac:dyDescent="0.2">
      <c r="F271" s="1"/>
      <c r="G271" s="1"/>
      <c r="H271" s="1"/>
      <c r="I271" s="1"/>
    </row>
    <row r="272" spans="6:9" ht="15" customHeight="1" x14ac:dyDescent="0.2">
      <c r="F272" s="1"/>
      <c r="G272" s="1"/>
      <c r="H272" s="1"/>
      <c r="I272" s="1"/>
    </row>
    <row r="273" spans="6:9" ht="15" customHeight="1" x14ac:dyDescent="0.2">
      <c r="F273" s="1"/>
      <c r="G273" s="1"/>
      <c r="H273" s="1"/>
      <c r="I273" s="1"/>
    </row>
    <row r="274" spans="6:9" ht="15" customHeight="1" x14ac:dyDescent="0.2">
      <c r="F274" s="1"/>
      <c r="G274" s="1"/>
      <c r="H274" s="1"/>
      <c r="I274" s="1"/>
    </row>
    <row r="275" spans="6:9" ht="15" customHeight="1" x14ac:dyDescent="0.2">
      <c r="F275" s="1"/>
      <c r="G275" s="1"/>
      <c r="H275" s="1"/>
      <c r="I275" s="1"/>
    </row>
    <row r="276" spans="6:9" ht="15" customHeight="1" x14ac:dyDescent="0.2">
      <c r="F276" s="1"/>
      <c r="G276" s="1"/>
      <c r="H276" s="1"/>
      <c r="I276" s="1"/>
    </row>
    <row r="277" spans="6:9" ht="15" customHeight="1" x14ac:dyDescent="0.2">
      <c r="F277" s="1"/>
      <c r="G277" s="1"/>
      <c r="H277" s="1"/>
      <c r="I277" s="1"/>
    </row>
    <row r="278" spans="6:9" ht="15" customHeight="1" x14ac:dyDescent="0.2">
      <c r="F278" s="1"/>
      <c r="G278" s="1"/>
      <c r="H278" s="1"/>
      <c r="I278" s="1"/>
    </row>
    <row r="279" spans="6:9" ht="15" customHeight="1" x14ac:dyDescent="0.2">
      <c r="F279" s="1"/>
      <c r="G279" s="1"/>
      <c r="H279" s="1"/>
      <c r="I279" s="1"/>
    </row>
    <row r="280" spans="6:9" ht="15" customHeight="1" x14ac:dyDescent="0.2">
      <c r="F280" s="1"/>
      <c r="G280" s="1"/>
      <c r="H280" s="1"/>
      <c r="I280" s="1"/>
    </row>
    <row r="281" spans="6:9" ht="15" customHeight="1" x14ac:dyDescent="0.2">
      <c r="F281" s="1"/>
      <c r="G281" s="1"/>
      <c r="H281" s="1"/>
      <c r="I281" s="1"/>
    </row>
    <row r="282" spans="6:9" ht="15" customHeight="1" x14ac:dyDescent="0.2">
      <c r="F282" s="1"/>
      <c r="G282" s="1"/>
      <c r="H282" s="1"/>
      <c r="I282" s="1"/>
    </row>
    <row r="283" spans="6:9" ht="15" customHeight="1" x14ac:dyDescent="0.2">
      <c r="F283" s="1"/>
      <c r="G283" s="1"/>
      <c r="H283" s="1"/>
      <c r="I283" s="1"/>
    </row>
    <row r="284" spans="6:9" ht="15" customHeight="1" x14ac:dyDescent="0.2">
      <c r="F284" s="1"/>
      <c r="G284" s="1"/>
      <c r="H284" s="1"/>
      <c r="I284" s="1"/>
    </row>
    <row r="285" spans="6:9" ht="15" customHeight="1" x14ac:dyDescent="0.2">
      <c r="F285" s="1"/>
      <c r="G285" s="1"/>
      <c r="H285" s="1"/>
      <c r="I285" s="1"/>
    </row>
    <row r="286" spans="6:9" ht="15" customHeight="1" x14ac:dyDescent="0.2">
      <c r="F286" s="1"/>
      <c r="G286" s="1"/>
      <c r="H286" s="1"/>
      <c r="I286" s="1"/>
    </row>
    <row r="287" spans="6:9" ht="15" customHeight="1" x14ac:dyDescent="0.2">
      <c r="F287" s="1"/>
      <c r="G287" s="1"/>
      <c r="H287" s="1"/>
      <c r="I287" s="1"/>
    </row>
    <row r="288" spans="6:9" ht="15" customHeight="1" x14ac:dyDescent="0.2">
      <c r="F288" s="1"/>
      <c r="G288" s="1"/>
      <c r="H288" s="1"/>
      <c r="I288" s="1"/>
    </row>
    <row r="289" spans="6:9" ht="15" customHeight="1" x14ac:dyDescent="0.2">
      <c r="F289" s="1"/>
      <c r="G289" s="1"/>
      <c r="H289" s="1"/>
      <c r="I289" s="1"/>
    </row>
    <row r="290" spans="6:9" ht="15" customHeight="1" x14ac:dyDescent="0.2">
      <c r="F290" s="1"/>
      <c r="G290" s="1"/>
      <c r="H290" s="1"/>
      <c r="I290" s="1"/>
    </row>
    <row r="291" spans="6:9" ht="15" customHeight="1" x14ac:dyDescent="0.2">
      <c r="F291" s="1"/>
      <c r="G291" s="1"/>
      <c r="H291" s="1"/>
      <c r="I291" s="1"/>
    </row>
    <row r="292" spans="6:9" ht="15" customHeight="1" x14ac:dyDescent="0.2">
      <c r="F292" s="1"/>
      <c r="G292" s="1"/>
      <c r="H292" s="1"/>
      <c r="I292" s="1"/>
    </row>
    <row r="293" spans="6:9" ht="15" customHeight="1" x14ac:dyDescent="0.2">
      <c r="F293" s="1"/>
      <c r="G293" s="1"/>
      <c r="H293" s="1"/>
      <c r="I293" s="1"/>
    </row>
    <row r="294" spans="6:9" ht="15" customHeight="1" x14ac:dyDescent="0.2">
      <c r="F294" s="1"/>
      <c r="G294" s="1"/>
      <c r="H294" s="1"/>
      <c r="I294" s="1"/>
    </row>
    <row r="295" spans="6:9" ht="15" customHeight="1" x14ac:dyDescent="0.2">
      <c r="F295" s="1"/>
      <c r="G295" s="1"/>
      <c r="H295" s="1"/>
      <c r="I295" s="1"/>
    </row>
    <row r="296" spans="6:9" ht="15" customHeight="1" x14ac:dyDescent="0.2">
      <c r="F296" s="1"/>
      <c r="G296" s="1"/>
      <c r="H296" s="1"/>
      <c r="I296" s="1"/>
    </row>
    <row r="297" spans="6:9" ht="15" customHeight="1" x14ac:dyDescent="0.2">
      <c r="F297" s="1"/>
      <c r="G297" s="1"/>
      <c r="H297" s="1"/>
      <c r="I297" s="1"/>
    </row>
    <row r="298" spans="6:9" ht="15" customHeight="1" x14ac:dyDescent="0.2">
      <c r="F298" s="1"/>
      <c r="G298" s="1"/>
      <c r="H298" s="1"/>
      <c r="I298" s="1"/>
    </row>
    <row r="299" spans="6:9" ht="15" customHeight="1" x14ac:dyDescent="0.2">
      <c r="F299" s="1"/>
      <c r="G299" s="1"/>
      <c r="H299" s="1"/>
      <c r="I299" s="1"/>
    </row>
    <row r="300" spans="6:9" ht="15" customHeight="1" x14ac:dyDescent="0.2">
      <c r="F300" s="1"/>
      <c r="G300" s="1"/>
      <c r="H300" s="1"/>
      <c r="I300" s="1"/>
    </row>
    <row r="301" spans="6:9" ht="15" customHeight="1" x14ac:dyDescent="0.2">
      <c r="F301" s="1"/>
      <c r="G301" s="1"/>
      <c r="H301" s="1"/>
      <c r="I301" s="1"/>
    </row>
    <row r="302" spans="6:9" ht="15" customHeight="1" x14ac:dyDescent="0.2">
      <c r="F302" s="1"/>
      <c r="G302" s="1"/>
      <c r="H302" s="1"/>
      <c r="I302" s="1"/>
    </row>
    <row r="303" spans="6:9" ht="15" customHeight="1" x14ac:dyDescent="0.2">
      <c r="F303" s="1"/>
      <c r="G303" s="1"/>
      <c r="H303" s="1"/>
      <c r="I303" s="1"/>
    </row>
    <row r="304" spans="6:9" ht="15" customHeight="1" x14ac:dyDescent="0.2">
      <c r="F304" s="1"/>
      <c r="G304" s="1"/>
      <c r="H304" s="1"/>
      <c r="I304" s="1"/>
    </row>
    <row r="305" spans="6:9" ht="15" customHeight="1" x14ac:dyDescent="0.2">
      <c r="F305" s="1"/>
      <c r="G305" s="1"/>
      <c r="H305" s="1"/>
      <c r="I305" s="1"/>
    </row>
    <row r="306" spans="6:9" ht="15" customHeight="1" x14ac:dyDescent="0.2">
      <c r="F306" s="1"/>
      <c r="G306" s="1"/>
      <c r="H306" s="1"/>
      <c r="I306" s="1"/>
    </row>
    <row r="307" spans="6:9" ht="15" customHeight="1" x14ac:dyDescent="0.2">
      <c r="F307" s="1"/>
      <c r="G307" s="1"/>
      <c r="H307" s="1"/>
      <c r="I307" s="1"/>
    </row>
    <row r="308" spans="6:9" ht="15" customHeight="1" x14ac:dyDescent="0.2">
      <c r="F308" s="1"/>
      <c r="G308" s="1"/>
      <c r="H308" s="1"/>
      <c r="I308" s="1"/>
    </row>
    <row r="309" spans="6:9" ht="15" customHeight="1" x14ac:dyDescent="0.2">
      <c r="F309" s="1"/>
      <c r="G309" s="1"/>
      <c r="H309" s="1"/>
      <c r="I309" s="1"/>
    </row>
    <row r="310" spans="6:9" ht="15" customHeight="1" x14ac:dyDescent="0.2">
      <c r="F310" s="1"/>
      <c r="G310" s="1"/>
      <c r="H310" s="1"/>
      <c r="I310" s="1"/>
    </row>
    <row r="311" spans="6:9" ht="15" customHeight="1" x14ac:dyDescent="0.2">
      <c r="F311" s="1"/>
      <c r="G311" s="1"/>
      <c r="H311" s="1"/>
      <c r="I311" s="1"/>
    </row>
    <row r="312" spans="6:9" ht="15" customHeight="1" x14ac:dyDescent="0.2">
      <c r="F312" s="1"/>
      <c r="G312" s="1"/>
      <c r="H312" s="1"/>
      <c r="I312" s="1"/>
    </row>
    <row r="313" spans="6:9" ht="15" customHeight="1" x14ac:dyDescent="0.2">
      <c r="F313" s="1"/>
      <c r="G313" s="1"/>
      <c r="H313" s="1"/>
      <c r="I313" s="1"/>
    </row>
    <row r="314" spans="6:9" ht="15" customHeight="1" x14ac:dyDescent="0.2">
      <c r="F314" s="1"/>
      <c r="G314" s="1"/>
      <c r="H314" s="1"/>
      <c r="I314" s="1"/>
    </row>
    <row r="315" spans="6:9" ht="15" customHeight="1" x14ac:dyDescent="0.2">
      <c r="F315" s="1"/>
      <c r="G315" s="1"/>
      <c r="H315" s="1"/>
      <c r="I315" s="1"/>
    </row>
    <row r="316" spans="6:9" ht="15" customHeight="1" x14ac:dyDescent="0.2">
      <c r="F316" s="1"/>
      <c r="G316" s="1"/>
      <c r="H316" s="1"/>
      <c r="I316" s="1"/>
    </row>
    <row r="317" spans="6:9" ht="15" customHeight="1" x14ac:dyDescent="0.2">
      <c r="F317" s="1"/>
      <c r="G317" s="1"/>
      <c r="H317" s="1"/>
      <c r="I317" s="1"/>
    </row>
    <row r="318" spans="6:9" ht="15" customHeight="1" x14ac:dyDescent="0.2">
      <c r="F318" s="1"/>
      <c r="G318" s="1"/>
      <c r="H318" s="1"/>
      <c r="I318" s="1"/>
    </row>
    <row r="319" spans="6:9" ht="15" customHeight="1" x14ac:dyDescent="0.2">
      <c r="F319" s="1"/>
      <c r="G319" s="1"/>
      <c r="H319" s="1"/>
      <c r="I319" s="1"/>
    </row>
    <row r="320" spans="6:9" ht="15" customHeight="1" x14ac:dyDescent="0.2">
      <c r="F320" s="1"/>
      <c r="G320" s="1"/>
      <c r="H320" s="1"/>
      <c r="I320" s="1"/>
    </row>
    <row r="321" spans="6:9" ht="15" customHeight="1" x14ac:dyDescent="0.2">
      <c r="F321" s="1"/>
      <c r="G321" s="1"/>
      <c r="H321" s="1"/>
      <c r="I321" s="1"/>
    </row>
    <row r="322" spans="6:9" ht="15" customHeight="1" x14ac:dyDescent="0.2">
      <c r="F322" s="1"/>
      <c r="G322" s="1"/>
      <c r="H322" s="1"/>
      <c r="I322" s="1"/>
    </row>
    <row r="323" spans="6:9" ht="15" customHeight="1" x14ac:dyDescent="0.2">
      <c r="F323" s="1"/>
      <c r="G323" s="1"/>
      <c r="H323" s="1"/>
      <c r="I323" s="1"/>
    </row>
    <row r="324" spans="6:9" ht="15" customHeight="1" x14ac:dyDescent="0.2">
      <c r="F324" s="1"/>
      <c r="G324" s="1"/>
      <c r="H324" s="1"/>
      <c r="I324" s="1"/>
    </row>
    <row r="325" spans="6:9" ht="15" customHeight="1" x14ac:dyDescent="0.2">
      <c r="F325" s="1"/>
      <c r="G325" s="1"/>
      <c r="H325" s="1"/>
      <c r="I325" s="1"/>
    </row>
    <row r="326" spans="6:9" ht="15" customHeight="1" x14ac:dyDescent="0.2">
      <c r="F326" s="1"/>
      <c r="G326" s="1"/>
      <c r="H326" s="1"/>
      <c r="I326" s="1"/>
    </row>
    <row r="327" spans="6:9" ht="15" customHeight="1" x14ac:dyDescent="0.2">
      <c r="F327" s="1"/>
      <c r="G327" s="1"/>
      <c r="H327" s="1"/>
      <c r="I327" s="1"/>
    </row>
    <row r="328" spans="6:9" ht="15" customHeight="1" x14ac:dyDescent="0.2">
      <c r="F328" s="1"/>
      <c r="G328" s="1"/>
      <c r="H328" s="1"/>
      <c r="I328" s="1"/>
    </row>
    <row r="329" spans="6:9" ht="15" customHeight="1" x14ac:dyDescent="0.2">
      <c r="F329" s="1"/>
      <c r="G329" s="1"/>
      <c r="H329" s="1"/>
      <c r="I329" s="1"/>
    </row>
    <row r="330" spans="6:9" ht="15" customHeight="1" x14ac:dyDescent="0.2">
      <c r="F330" s="1"/>
      <c r="G330" s="1"/>
      <c r="H330" s="1"/>
      <c r="I330" s="1"/>
    </row>
    <row r="331" spans="6:9" ht="15" customHeight="1" x14ac:dyDescent="0.2">
      <c r="F331" s="1"/>
      <c r="G331" s="1"/>
      <c r="H331" s="1"/>
      <c r="I331" s="1"/>
    </row>
    <row r="332" spans="6:9" ht="15" customHeight="1" x14ac:dyDescent="0.2">
      <c r="F332" s="1"/>
      <c r="G332" s="1"/>
      <c r="H332" s="1"/>
      <c r="I332" s="1"/>
    </row>
    <row r="333" spans="6:9" ht="15" customHeight="1" x14ac:dyDescent="0.2">
      <c r="F333" s="1"/>
      <c r="G333" s="1"/>
      <c r="H333" s="1"/>
      <c r="I333" s="1"/>
    </row>
    <row r="334" spans="6:9" ht="15" customHeight="1" x14ac:dyDescent="0.2">
      <c r="F334" s="1"/>
      <c r="G334" s="1"/>
      <c r="H334" s="1"/>
      <c r="I334" s="1"/>
    </row>
    <row r="335" spans="6:9" ht="15" customHeight="1" x14ac:dyDescent="0.2">
      <c r="F335" s="1"/>
      <c r="G335" s="1"/>
      <c r="H335" s="1"/>
      <c r="I335" s="1"/>
    </row>
    <row r="336" spans="6:9" ht="15" customHeight="1" x14ac:dyDescent="0.2">
      <c r="F336" s="1"/>
      <c r="G336" s="1"/>
      <c r="H336" s="1"/>
      <c r="I336" s="1"/>
    </row>
    <row r="337" spans="6:9" ht="15" customHeight="1" x14ac:dyDescent="0.2">
      <c r="F337" s="1"/>
      <c r="G337" s="1"/>
      <c r="H337" s="1"/>
      <c r="I337" s="1"/>
    </row>
    <row r="338" spans="6:9" ht="15" customHeight="1" x14ac:dyDescent="0.2">
      <c r="F338" s="1"/>
      <c r="G338" s="1"/>
      <c r="H338" s="1"/>
      <c r="I338" s="1"/>
    </row>
    <row r="339" spans="6:9" ht="15" customHeight="1" x14ac:dyDescent="0.2">
      <c r="F339" s="1"/>
      <c r="G339" s="1"/>
      <c r="H339" s="1"/>
      <c r="I339" s="1"/>
    </row>
    <row r="340" spans="6:9" ht="15" customHeight="1" x14ac:dyDescent="0.2">
      <c r="F340" s="1"/>
      <c r="G340" s="1"/>
      <c r="H340" s="1"/>
      <c r="I340" s="1"/>
    </row>
    <row r="341" spans="6:9" ht="15" customHeight="1" x14ac:dyDescent="0.2">
      <c r="F341" s="1"/>
      <c r="G341" s="1"/>
      <c r="H341" s="1"/>
      <c r="I341" s="1"/>
    </row>
    <row r="342" spans="6:9" ht="15" customHeight="1" x14ac:dyDescent="0.2">
      <c r="F342" s="1"/>
      <c r="G342" s="1"/>
      <c r="H342" s="1"/>
      <c r="I342" s="1"/>
    </row>
    <row r="343" spans="6:9" ht="15" customHeight="1" x14ac:dyDescent="0.2">
      <c r="F343" s="1"/>
      <c r="G343" s="1"/>
      <c r="H343" s="1"/>
      <c r="I343" s="1"/>
    </row>
    <row r="344" spans="6:9" ht="15" customHeight="1" x14ac:dyDescent="0.2">
      <c r="F344" s="1"/>
      <c r="G344" s="1"/>
      <c r="H344" s="1"/>
      <c r="I344" s="1"/>
    </row>
    <row r="345" spans="6:9" ht="15" customHeight="1" x14ac:dyDescent="0.2">
      <c r="F345" s="1"/>
      <c r="G345" s="1"/>
      <c r="H345" s="1"/>
      <c r="I345" s="1"/>
    </row>
    <row r="346" spans="6:9" ht="15" customHeight="1" x14ac:dyDescent="0.2">
      <c r="F346" s="1"/>
      <c r="G346" s="1"/>
      <c r="H346" s="1"/>
      <c r="I346" s="1"/>
    </row>
    <row r="347" spans="6:9" ht="15" customHeight="1" x14ac:dyDescent="0.2">
      <c r="F347" s="1"/>
      <c r="G347" s="1"/>
      <c r="H347" s="1"/>
      <c r="I347" s="1"/>
    </row>
    <row r="348" spans="6:9" ht="15" customHeight="1" x14ac:dyDescent="0.2">
      <c r="F348" s="1"/>
      <c r="G348" s="1"/>
      <c r="H348" s="1"/>
      <c r="I348" s="1"/>
    </row>
    <row r="349" spans="6:9" ht="15" customHeight="1" x14ac:dyDescent="0.2">
      <c r="F349" s="1"/>
      <c r="G349" s="1"/>
      <c r="H349" s="1"/>
      <c r="I349" s="1"/>
    </row>
    <row r="350" spans="6:9" ht="15" customHeight="1" x14ac:dyDescent="0.2">
      <c r="F350" s="1"/>
      <c r="G350" s="1"/>
      <c r="H350" s="1"/>
      <c r="I350" s="1"/>
    </row>
    <row r="351" spans="6:9" ht="15" customHeight="1" x14ac:dyDescent="0.2">
      <c r="F351" s="1"/>
      <c r="G351" s="1"/>
      <c r="H351" s="1"/>
      <c r="I351" s="1"/>
    </row>
    <row r="352" spans="6:9" ht="15" customHeight="1" x14ac:dyDescent="0.2">
      <c r="F352" s="1"/>
      <c r="G352" s="1"/>
      <c r="H352" s="1"/>
      <c r="I352" s="1"/>
    </row>
    <row r="353" spans="6:9" ht="15" customHeight="1" x14ac:dyDescent="0.2">
      <c r="F353" s="1"/>
      <c r="G353" s="1"/>
      <c r="H353" s="1"/>
      <c r="I353" s="1"/>
    </row>
    <row r="354" spans="6:9" ht="15" customHeight="1" x14ac:dyDescent="0.2">
      <c r="F354" s="1"/>
      <c r="G354" s="1"/>
      <c r="H354" s="1"/>
      <c r="I354" s="1"/>
    </row>
    <row r="355" spans="6:9" ht="15" customHeight="1" x14ac:dyDescent="0.2">
      <c r="F355" s="1"/>
      <c r="G355" s="1"/>
      <c r="H355" s="1"/>
      <c r="I355" s="1"/>
    </row>
    <row r="356" spans="6:9" ht="15" customHeight="1" x14ac:dyDescent="0.2">
      <c r="F356" s="1"/>
      <c r="G356" s="1"/>
      <c r="H356" s="1"/>
      <c r="I356" s="1"/>
    </row>
    <row r="357" spans="6:9" ht="15" customHeight="1" x14ac:dyDescent="0.2">
      <c r="F357" s="1"/>
      <c r="G357" s="1"/>
      <c r="H357" s="1"/>
      <c r="I357" s="1"/>
    </row>
    <row r="358" spans="6:9" ht="15" customHeight="1" x14ac:dyDescent="0.2">
      <c r="F358" s="1"/>
      <c r="G358" s="1"/>
      <c r="H358" s="1"/>
      <c r="I358" s="1"/>
    </row>
    <row r="359" spans="6:9" ht="15" customHeight="1" x14ac:dyDescent="0.2">
      <c r="F359" s="1"/>
      <c r="G359" s="1"/>
      <c r="H359" s="1"/>
      <c r="I359" s="1"/>
    </row>
    <row r="360" spans="6:9" ht="15" customHeight="1" x14ac:dyDescent="0.2">
      <c r="F360" s="1"/>
      <c r="G360" s="1"/>
      <c r="H360" s="1"/>
      <c r="I360" s="1"/>
    </row>
    <row r="361" spans="6:9" ht="15" customHeight="1" x14ac:dyDescent="0.2">
      <c r="F361" s="1"/>
      <c r="G361" s="1"/>
      <c r="H361" s="1"/>
      <c r="I361" s="1"/>
    </row>
    <row r="362" spans="6:9" ht="15" customHeight="1" x14ac:dyDescent="0.2">
      <c r="F362" s="1"/>
      <c r="G362" s="1"/>
      <c r="H362" s="1"/>
      <c r="I362" s="1"/>
    </row>
    <row r="363" spans="6:9" ht="15" customHeight="1" x14ac:dyDescent="0.2">
      <c r="F363" s="1"/>
      <c r="G363" s="1"/>
      <c r="H363" s="1"/>
      <c r="I363" s="1"/>
    </row>
    <row r="364" spans="6:9" ht="15" customHeight="1" x14ac:dyDescent="0.2">
      <c r="F364" s="1"/>
      <c r="G364" s="1"/>
      <c r="H364" s="1"/>
      <c r="I364" s="1"/>
    </row>
    <row r="365" spans="6:9" ht="15" customHeight="1" x14ac:dyDescent="0.2">
      <c r="F365" s="1"/>
      <c r="G365" s="1"/>
      <c r="H365" s="1"/>
      <c r="I365" s="1"/>
    </row>
    <row r="366" spans="6:9" ht="15" customHeight="1" x14ac:dyDescent="0.2">
      <c r="F366" s="1"/>
      <c r="G366" s="1"/>
      <c r="H366" s="1"/>
      <c r="I366" s="1"/>
    </row>
    <row r="367" spans="6:9" ht="15" customHeight="1" x14ac:dyDescent="0.2">
      <c r="F367" s="1"/>
      <c r="G367" s="1"/>
      <c r="H367" s="1"/>
      <c r="I367" s="1"/>
    </row>
    <row r="368" spans="6:9" ht="15" customHeight="1" x14ac:dyDescent="0.2">
      <c r="F368" s="1"/>
      <c r="G368" s="1"/>
      <c r="H368" s="1"/>
      <c r="I368" s="1"/>
    </row>
    <row r="369" spans="6:9" ht="15" customHeight="1" x14ac:dyDescent="0.2">
      <c r="F369" s="1"/>
      <c r="G369" s="1"/>
      <c r="H369" s="1"/>
      <c r="I369" s="1"/>
    </row>
    <row r="370" spans="6:9" ht="15" customHeight="1" x14ac:dyDescent="0.2">
      <c r="F370" s="1"/>
      <c r="G370" s="1"/>
      <c r="H370" s="1"/>
      <c r="I370" s="1"/>
    </row>
    <row r="371" spans="6:9" ht="15" customHeight="1" x14ac:dyDescent="0.2">
      <c r="F371" s="1"/>
      <c r="G371" s="1"/>
      <c r="H371" s="1"/>
      <c r="I371" s="1"/>
    </row>
    <row r="372" spans="6:9" ht="15" customHeight="1" x14ac:dyDescent="0.2">
      <c r="F372" s="1"/>
      <c r="G372" s="1"/>
      <c r="H372" s="1"/>
      <c r="I372" s="1"/>
    </row>
    <row r="373" spans="6:9" ht="15" customHeight="1" x14ac:dyDescent="0.2">
      <c r="F373" s="1"/>
      <c r="G373" s="1"/>
      <c r="H373" s="1"/>
      <c r="I373" s="1"/>
    </row>
    <row r="374" spans="6:9" ht="15" customHeight="1" x14ac:dyDescent="0.2">
      <c r="F374" s="1"/>
      <c r="G374" s="1"/>
      <c r="H374" s="1"/>
      <c r="I374" s="1"/>
    </row>
    <row r="375" spans="6:9" ht="15" customHeight="1" x14ac:dyDescent="0.2">
      <c r="F375" s="1"/>
      <c r="G375" s="1"/>
      <c r="H375" s="1"/>
      <c r="I375" s="1"/>
    </row>
    <row r="376" spans="6:9" ht="15" customHeight="1" x14ac:dyDescent="0.2">
      <c r="F376" s="1"/>
      <c r="G376" s="1"/>
      <c r="H376" s="1"/>
      <c r="I376" s="1"/>
    </row>
    <row r="377" spans="6:9" ht="15" customHeight="1" x14ac:dyDescent="0.2">
      <c r="F377" s="1"/>
      <c r="G377" s="1"/>
      <c r="H377" s="1"/>
      <c r="I377" s="1"/>
    </row>
    <row r="378" spans="6:9" ht="15" customHeight="1" x14ac:dyDescent="0.2">
      <c r="F378" s="1"/>
      <c r="G378" s="1"/>
      <c r="H378" s="1"/>
      <c r="I378" s="1"/>
    </row>
    <row r="379" spans="6:9" ht="15" customHeight="1" x14ac:dyDescent="0.2">
      <c r="F379" s="1"/>
      <c r="G379" s="1"/>
      <c r="H379" s="1"/>
      <c r="I379" s="1"/>
    </row>
    <row r="380" spans="6:9" ht="15" customHeight="1" x14ac:dyDescent="0.2">
      <c r="F380" s="1"/>
      <c r="G380" s="1"/>
      <c r="H380" s="1"/>
      <c r="I380" s="1"/>
    </row>
    <row r="381" spans="6:9" ht="15" customHeight="1" x14ac:dyDescent="0.2">
      <c r="F381" s="1"/>
      <c r="G381" s="1"/>
      <c r="H381" s="1"/>
      <c r="I381" s="1"/>
    </row>
    <row r="382" spans="6:9" ht="15" customHeight="1" x14ac:dyDescent="0.2">
      <c r="F382" s="1"/>
      <c r="G382" s="1"/>
      <c r="H382" s="1"/>
      <c r="I382" s="1"/>
    </row>
    <row r="383" spans="6:9" ht="15" customHeight="1" x14ac:dyDescent="0.2">
      <c r="F383" s="1"/>
      <c r="G383" s="1"/>
      <c r="H383" s="1"/>
      <c r="I383" s="1"/>
    </row>
    <row r="384" spans="6:9" ht="15" customHeight="1" x14ac:dyDescent="0.2">
      <c r="F384" s="1"/>
      <c r="G384" s="1"/>
      <c r="H384" s="1"/>
      <c r="I384" s="1"/>
    </row>
    <row r="385" spans="6:9" ht="15" customHeight="1" x14ac:dyDescent="0.2">
      <c r="F385" s="1"/>
      <c r="G385" s="1"/>
      <c r="H385" s="1"/>
      <c r="I385" s="1"/>
    </row>
    <row r="386" spans="6:9" ht="15" customHeight="1" x14ac:dyDescent="0.2">
      <c r="F386" s="1"/>
      <c r="G386" s="1"/>
      <c r="H386" s="1"/>
      <c r="I386" s="1"/>
    </row>
    <row r="387" spans="6:9" ht="15" customHeight="1" x14ac:dyDescent="0.2">
      <c r="F387" s="1"/>
      <c r="G387" s="1"/>
      <c r="H387" s="1"/>
      <c r="I387" s="1"/>
    </row>
    <row r="388" spans="6:9" ht="15" customHeight="1" x14ac:dyDescent="0.2">
      <c r="F388" s="1"/>
      <c r="G388" s="1"/>
      <c r="H388" s="1"/>
      <c r="I388" s="1"/>
    </row>
    <row r="389" spans="6:9" ht="15" customHeight="1" x14ac:dyDescent="0.2">
      <c r="F389" s="1"/>
      <c r="G389" s="1"/>
      <c r="H389" s="1"/>
      <c r="I389" s="1"/>
    </row>
    <row r="390" spans="6:9" ht="15" customHeight="1" x14ac:dyDescent="0.2">
      <c r="F390" s="1"/>
      <c r="G390" s="1"/>
      <c r="H390" s="1"/>
      <c r="I390" s="1"/>
    </row>
    <row r="391" spans="6:9" ht="15" customHeight="1" x14ac:dyDescent="0.2">
      <c r="F391" s="1"/>
      <c r="G391" s="1"/>
      <c r="H391" s="1"/>
      <c r="I391" s="1"/>
    </row>
    <row r="392" spans="6:9" ht="15" customHeight="1" x14ac:dyDescent="0.2">
      <c r="F392" s="1"/>
      <c r="G392" s="1"/>
      <c r="H392" s="1"/>
      <c r="I392" s="1"/>
    </row>
    <row r="393" spans="6:9" ht="15" customHeight="1" x14ac:dyDescent="0.2">
      <c r="F393" s="1"/>
      <c r="G393" s="1"/>
      <c r="H393" s="1"/>
      <c r="I393" s="1"/>
    </row>
    <row r="394" spans="6:9" ht="15" customHeight="1" x14ac:dyDescent="0.2">
      <c r="F394" s="1"/>
      <c r="G394" s="1"/>
      <c r="H394" s="1"/>
      <c r="I394" s="1"/>
    </row>
    <row r="395" spans="6:9" ht="15" customHeight="1" x14ac:dyDescent="0.2">
      <c r="F395" s="1"/>
      <c r="G395" s="1"/>
      <c r="H395" s="1"/>
      <c r="I395" s="1"/>
    </row>
    <row r="396" spans="6:9" ht="15" customHeight="1" x14ac:dyDescent="0.2">
      <c r="F396" s="1"/>
      <c r="G396" s="1"/>
      <c r="H396" s="1"/>
      <c r="I396" s="1"/>
    </row>
    <row r="397" spans="6:9" ht="15" customHeight="1" x14ac:dyDescent="0.2">
      <c r="F397" s="1"/>
      <c r="G397" s="1"/>
      <c r="H397" s="1"/>
      <c r="I397" s="1"/>
    </row>
    <row r="398" spans="6:9" ht="15" customHeight="1" x14ac:dyDescent="0.2">
      <c r="F398" s="1"/>
      <c r="G398" s="1"/>
      <c r="H398" s="1"/>
      <c r="I398" s="1"/>
    </row>
    <row r="399" spans="6:9" ht="15" customHeight="1" x14ac:dyDescent="0.2">
      <c r="F399" s="1"/>
      <c r="G399" s="1"/>
      <c r="H399" s="1"/>
      <c r="I399" s="1"/>
    </row>
    <row r="400" spans="6:9" ht="15" customHeight="1" x14ac:dyDescent="0.2">
      <c r="F400" s="1"/>
      <c r="G400" s="1"/>
      <c r="H400" s="1"/>
      <c r="I400" s="1"/>
    </row>
    <row r="401" spans="6:9" ht="15" customHeight="1" x14ac:dyDescent="0.2">
      <c r="F401" s="1"/>
      <c r="G401" s="1"/>
      <c r="H401" s="1"/>
      <c r="I401" s="1"/>
    </row>
    <row r="402" spans="6:9" ht="15" customHeight="1" x14ac:dyDescent="0.2">
      <c r="F402" s="1"/>
      <c r="G402" s="1"/>
      <c r="H402" s="1"/>
      <c r="I402" s="1"/>
    </row>
    <row r="403" spans="6:9" ht="15" customHeight="1" x14ac:dyDescent="0.2">
      <c r="F403" s="1"/>
      <c r="G403" s="1"/>
      <c r="H403" s="1"/>
      <c r="I403" s="1"/>
    </row>
    <row r="404" spans="6:9" ht="15" customHeight="1" x14ac:dyDescent="0.2">
      <c r="F404" s="1"/>
      <c r="G404" s="1"/>
      <c r="H404" s="1"/>
      <c r="I404" s="1"/>
    </row>
    <row r="405" spans="6:9" ht="15" customHeight="1" x14ac:dyDescent="0.2">
      <c r="F405" s="1"/>
      <c r="G405" s="1"/>
      <c r="H405" s="1"/>
      <c r="I405" s="1"/>
    </row>
    <row r="406" spans="6:9" ht="15" customHeight="1" x14ac:dyDescent="0.2">
      <c r="F406" s="1"/>
      <c r="G406" s="1"/>
      <c r="H406" s="1"/>
      <c r="I406" s="1"/>
    </row>
    <row r="407" spans="6:9" ht="15" customHeight="1" x14ac:dyDescent="0.2">
      <c r="F407" s="1"/>
      <c r="G407" s="1"/>
      <c r="H407" s="1"/>
      <c r="I407" s="1"/>
    </row>
    <row r="408" spans="6:9" ht="15" customHeight="1" x14ac:dyDescent="0.2">
      <c r="F408" s="1"/>
      <c r="G408" s="1"/>
      <c r="H408" s="1"/>
      <c r="I408" s="1"/>
    </row>
    <row r="409" spans="6:9" ht="15" customHeight="1" x14ac:dyDescent="0.2">
      <c r="F409" s="1"/>
      <c r="G409" s="1"/>
      <c r="H409" s="1"/>
      <c r="I409" s="1"/>
    </row>
    <row r="410" spans="6:9" ht="15" customHeight="1" x14ac:dyDescent="0.2">
      <c r="F410" s="1"/>
      <c r="G410" s="1"/>
      <c r="H410" s="1"/>
      <c r="I410" s="1"/>
    </row>
    <row r="411" spans="6:9" ht="15" customHeight="1" x14ac:dyDescent="0.2">
      <c r="F411" s="1"/>
      <c r="G411" s="1"/>
      <c r="H411" s="1"/>
      <c r="I411" s="1"/>
    </row>
    <row r="412" spans="6:9" ht="15" customHeight="1" x14ac:dyDescent="0.2">
      <c r="F412" s="1"/>
      <c r="G412" s="1"/>
      <c r="H412" s="1"/>
      <c r="I412" s="1"/>
    </row>
    <row r="413" spans="6:9" ht="15" customHeight="1" x14ac:dyDescent="0.2">
      <c r="F413" s="1"/>
      <c r="G413" s="1"/>
      <c r="H413" s="1"/>
      <c r="I413" s="1"/>
    </row>
    <row r="414" spans="6:9" ht="15" customHeight="1" x14ac:dyDescent="0.2">
      <c r="F414" s="1"/>
      <c r="G414" s="1"/>
      <c r="H414" s="1"/>
      <c r="I414" s="1"/>
    </row>
    <row r="415" spans="6:9" ht="15" customHeight="1" x14ac:dyDescent="0.2">
      <c r="F415" s="1"/>
      <c r="G415" s="1"/>
      <c r="H415" s="1"/>
      <c r="I415" s="1"/>
    </row>
    <row r="416" spans="6:9" ht="15" customHeight="1" x14ac:dyDescent="0.2">
      <c r="F416" s="1"/>
      <c r="G416" s="1"/>
      <c r="H416" s="1"/>
      <c r="I416" s="1"/>
    </row>
    <row r="417" spans="6:9" ht="15" customHeight="1" x14ac:dyDescent="0.2">
      <c r="F417" s="1"/>
      <c r="G417" s="1"/>
      <c r="H417" s="1"/>
      <c r="I417" s="1"/>
    </row>
    <row r="418" spans="6:9" ht="15" customHeight="1" x14ac:dyDescent="0.2">
      <c r="F418" s="1"/>
      <c r="G418" s="1"/>
      <c r="H418" s="1"/>
      <c r="I418" s="1"/>
    </row>
    <row r="419" spans="6:9" ht="15" customHeight="1" x14ac:dyDescent="0.2">
      <c r="F419" s="1"/>
      <c r="G419" s="1"/>
      <c r="H419" s="1"/>
      <c r="I419" s="1"/>
    </row>
    <row r="420" spans="6:9" ht="15" customHeight="1" x14ac:dyDescent="0.2">
      <c r="F420" s="1"/>
      <c r="G420" s="1"/>
      <c r="H420" s="1"/>
      <c r="I420" s="1"/>
    </row>
    <row r="421" spans="6:9" ht="15" customHeight="1" x14ac:dyDescent="0.2">
      <c r="F421" s="1"/>
      <c r="G421" s="1"/>
      <c r="H421" s="1"/>
      <c r="I421" s="1"/>
    </row>
    <row r="422" spans="6:9" ht="15" customHeight="1" x14ac:dyDescent="0.2">
      <c r="F422" s="1"/>
      <c r="G422" s="1"/>
      <c r="H422" s="1"/>
      <c r="I422" s="1"/>
    </row>
    <row r="423" spans="6:9" ht="15" customHeight="1" x14ac:dyDescent="0.2">
      <c r="F423" s="1"/>
      <c r="G423" s="1"/>
      <c r="H423" s="1"/>
      <c r="I423" s="1"/>
    </row>
    <row r="424" spans="6:9" ht="15" customHeight="1" x14ac:dyDescent="0.2">
      <c r="F424" s="1"/>
      <c r="G424" s="1"/>
      <c r="H424" s="1"/>
      <c r="I424" s="1"/>
    </row>
    <row r="425" spans="6:9" ht="15" customHeight="1" x14ac:dyDescent="0.2">
      <c r="F425" s="1"/>
      <c r="G425" s="1"/>
      <c r="H425" s="1"/>
      <c r="I425" s="1"/>
    </row>
    <row r="426" spans="6:9" ht="15" customHeight="1" x14ac:dyDescent="0.2">
      <c r="F426" s="1"/>
      <c r="G426" s="1"/>
      <c r="H426" s="1"/>
      <c r="I426" s="1"/>
    </row>
    <row r="427" spans="6:9" ht="15" customHeight="1" x14ac:dyDescent="0.2">
      <c r="F427" s="1"/>
      <c r="G427" s="1"/>
      <c r="H427" s="1"/>
      <c r="I427" s="1"/>
    </row>
    <row r="428" spans="6:9" ht="15" customHeight="1" x14ac:dyDescent="0.2">
      <c r="F428" s="1"/>
      <c r="G428" s="1"/>
      <c r="H428" s="1"/>
      <c r="I428" s="1"/>
    </row>
    <row r="429" spans="6:9" ht="15" customHeight="1" x14ac:dyDescent="0.2">
      <c r="F429" s="1"/>
      <c r="G429" s="1"/>
      <c r="H429" s="1"/>
      <c r="I429" s="1"/>
    </row>
    <row r="430" spans="6:9" ht="15" customHeight="1" x14ac:dyDescent="0.2">
      <c r="F430" s="1"/>
      <c r="G430" s="1"/>
      <c r="H430" s="1"/>
      <c r="I430" s="1"/>
    </row>
    <row r="431" spans="6:9" ht="15" customHeight="1" x14ac:dyDescent="0.2">
      <c r="F431" s="1"/>
      <c r="G431" s="1"/>
      <c r="H431" s="1"/>
      <c r="I431" s="1"/>
    </row>
    <row r="432" spans="6:9" ht="15" customHeight="1" x14ac:dyDescent="0.2">
      <c r="F432" s="1"/>
      <c r="G432" s="1"/>
      <c r="H432" s="1"/>
      <c r="I432" s="1"/>
    </row>
    <row r="433" spans="6:9" ht="15" customHeight="1" x14ac:dyDescent="0.2">
      <c r="F433" s="1"/>
      <c r="G433" s="1"/>
      <c r="H433" s="1"/>
      <c r="I433" s="1"/>
    </row>
    <row r="434" spans="6:9" ht="15" customHeight="1" x14ac:dyDescent="0.2">
      <c r="F434" s="1"/>
      <c r="G434" s="1"/>
      <c r="H434" s="1"/>
      <c r="I434" s="1"/>
    </row>
    <row r="435" spans="6:9" ht="15" customHeight="1" x14ac:dyDescent="0.2">
      <c r="F435" s="1"/>
      <c r="G435" s="1"/>
      <c r="H435" s="1"/>
      <c r="I435" s="1"/>
    </row>
    <row r="436" spans="6:9" ht="15" customHeight="1" x14ac:dyDescent="0.2">
      <c r="F436" s="1"/>
      <c r="G436" s="1"/>
      <c r="H436" s="1"/>
      <c r="I436" s="1"/>
    </row>
    <row r="437" spans="6:9" ht="15" customHeight="1" x14ac:dyDescent="0.2">
      <c r="F437" s="1"/>
      <c r="G437" s="1"/>
      <c r="H437" s="1"/>
      <c r="I437" s="1"/>
    </row>
    <row r="438" spans="6:9" ht="15" customHeight="1" x14ac:dyDescent="0.2">
      <c r="F438" s="1"/>
      <c r="G438" s="1"/>
      <c r="H438" s="1"/>
      <c r="I438" s="1"/>
    </row>
    <row r="439" spans="6:9" ht="15" customHeight="1" x14ac:dyDescent="0.2">
      <c r="F439" s="1"/>
      <c r="G439" s="1"/>
      <c r="H439" s="1"/>
      <c r="I439" s="1"/>
    </row>
    <row r="440" spans="6:9" ht="15" customHeight="1" x14ac:dyDescent="0.2">
      <c r="F440" s="1"/>
      <c r="G440" s="1"/>
      <c r="H440" s="1"/>
      <c r="I440" s="1"/>
    </row>
    <row r="441" spans="6:9" ht="15" customHeight="1" x14ac:dyDescent="0.2">
      <c r="F441" s="1"/>
      <c r="G441" s="1"/>
      <c r="H441" s="1"/>
      <c r="I441" s="1"/>
    </row>
    <row r="442" spans="6:9" ht="15" customHeight="1" x14ac:dyDescent="0.2">
      <c r="F442" s="1"/>
      <c r="G442" s="1"/>
      <c r="H442" s="1"/>
      <c r="I442" s="1"/>
    </row>
    <row r="443" spans="6:9" ht="15" customHeight="1" x14ac:dyDescent="0.2">
      <c r="F443" s="1"/>
      <c r="G443" s="1"/>
      <c r="H443" s="1"/>
      <c r="I443" s="1"/>
    </row>
    <row r="444" spans="6:9" ht="15" customHeight="1" x14ac:dyDescent="0.2">
      <c r="F444" s="1"/>
      <c r="G444" s="1"/>
      <c r="H444" s="1"/>
      <c r="I444" s="1"/>
    </row>
    <row r="445" spans="6:9" ht="15" customHeight="1" x14ac:dyDescent="0.2">
      <c r="F445" s="1"/>
      <c r="G445" s="1"/>
      <c r="H445" s="1"/>
      <c r="I445" s="1"/>
    </row>
    <row r="446" spans="6:9" ht="15" customHeight="1" x14ac:dyDescent="0.2">
      <c r="F446" s="1"/>
      <c r="G446" s="1"/>
      <c r="H446" s="1"/>
      <c r="I446" s="1"/>
    </row>
    <row r="447" spans="6:9" ht="15" customHeight="1" x14ac:dyDescent="0.2">
      <c r="F447" s="1"/>
      <c r="G447" s="1"/>
      <c r="H447" s="1"/>
      <c r="I447" s="1"/>
    </row>
    <row r="448" spans="6:9" ht="15" customHeight="1" x14ac:dyDescent="0.2">
      <c r="F448" s="1"/>
      <c r="G448" s="1"/>
      <c r="H448" s="1"/>
      <c r="I448" s="1"/>
    </row>
    <row r="449" spans="6:9" ht="15" customHeight="1" x14ac:dyDescent="0.2">
      <c r="F449" s="1"/>
      <c r="G449" s="1"/>
      <c r="H449" s="1"/>
      <c r="I449" s="1"/>
    </row>
    <row r="450" spans="6:9" ht="15" customHeight="1" x14ac:dyDescent="0.2">
      <c r="F450" s="1"/>
      <c r="G450" s="1"/>
      <c r="H450" s="1"/>
      <c r="I450" s="1"/>
    </row>
    <row r="451" spans="6:9" ht="15" customHeight="1" x14ac:dyDescent="0.2">
      <c r="F451" s="1"/>
      <c r="G451" s="1"/>
      <c r="H451" s="1"/>
      <c r="I451" s="1"/>
    </row>
    <row r="452" spans="6:9" ht="15" customHeight="1" x14ac:dyDescent="0.2">
      <c r="F452" s="1"/>
      <c r="G452" s="1"/>
      <c r="H452" s="1"/>
      <c r="I452" s="1"/>
    </row>
    <row r="453" spans="6:9" ht="15" customHeight="1" x14ac:dyDescent="0.2">
      <c r="F453" s="1"/>
      <c r="G453" s="1"/>
      <c r="H453" s="1"/>
      <c r="I453" s="1"/>
    </row>
    <row r="454" spans="6:9" ht="15" customHeight="1" x14ac:dyDescent="0.2">
      <c r="F454" s="1"/>
      <c r="G454" s="1"/>
      <c r="H454" s="1"/>
      <c r="I454" s="1"/>
    </row>
    <row r="455" spans="6:9" ht="15" customHeight="1" x14ac:dyDescent="0.2">
      <c r="F455" s="1"/>
      <c r="G455" s="1"/>
      <c r="H455" s="1"/>
      <c r="I455" s="1"/>
    </row>
    <row r="456" spans="6:9" ht="15" customHeight="1" x14ac:dyDescent="0.2">
      <c r="F456" s="1"/>
      <c r="G456" s="1"/>
      <c r="H456" s="1"/>
      <c r="I456" s="1"/>
    </row>
    <row r="457" spans="6:9" ht="15" customHeight="1" x14ac:dyDescent="0.2">
      <c r="F457" s="1"/>
      <c r="G457" s="1"/>
      <c r="H457" s="1"/>
      <c r="I457" s="1"/>
    </row>
    <row r="458" spans="6:9" ht="15" customHeight="1" x14ac:dyDescent="0.2">
      <c r="F458" s="1"/>
      <c r="G458" s="1"/>
      <c r="H458" s="1"/>
      <c r="I458" s="1"/>
    </row>
    <row r="459" spans="6:9" ht="15" customHeight="1" x14ac:dyDescent="0.2">
      <c r="F459" s="1"/>
      <c r="G459" s="1"/>
      <c r="H459" s="1"/>
      <c r="I459" s="1"/>
    </row>
    <row r="460" spans="6:9" ht="15" customHeight="1" x14ac:dyDescent="0.2">
      <c r="F460" s="1"/>
      <c r="G460" s="1"/>
      <c r="H460" s="1"/>
      <c r="I460" s="1"/>
    </row>
    <row r="461" spans="6:9" ht="15" customHeight="1" x14ac:dyDescent="0.2">
      <c r="F461" s="1"/>
      <c r="G461" s="1"/>
      <c r="H461" s="1"/>
      <c r="I461" s="1"/>
    </row>
    <row r="462" spans="6:9" ht="15" customHeight="1" x14ac:dyDescent="0.2">
      <c r="F462" s="1"/>
      <c r="G462" s="1"/>
      <c r="H462" s="1"/>
      <c r="I462" s="1"/>
    </row>
    <row r="463" spans="6:9" ht="15" customHeight="1" x14ac:dyDescent="0.2">
      <c r="F463" s="1"/>
      <c r="G463" s="1"/>
      <c r="H463" s="1"/>
      <c r="I463" s="1"/>
    </row>
    <row r="464" spans="6:9" ht="15" customHeight="1" x14ac:dyDescent="0.2">
      <c r="F464" s="1"/>
      <c r="G464" s="1"/>
      <c r="H464" s="1"/>
      <c r="I464" s="1"/>
    </row>
    <row r="465" spans="6:9" ht="15" customHeight="1" x14ac:dyDescent="0.2">
      <c r="F465" s="1"/>
      <c r="G465" s="1"/>
      <c r="H465" s="1"/>
      <c r="I465" s="1"/>
    </row>
    <row r="466" spans="6:9" ht="15" customHeight="1" x14ac:dyDescent="0.2">
      <c r="F466" s="1"/>
      <c r="G466" s="1"/>
      <c r="H466" s="1"/>
      <c r="I466" s="1"/>
    </row>
    <row r="467" spans="6:9" ht="15" customHeight="1" x14ac:dyDescent="0.2">
      <c r="F467" s="1"/>
      <c r="G467" s="1"/>
      <c r="H467" s="1"/>
      <c r="I467" s="1"/>
    </row>
    <row r="468" spans="6:9" ht="15" customHeight="1" x14ac:dyDescent="0.2">
      <c r="F468" s="1"/>
      <c r="G468" s="1"/>
      <c r="H468" s="1"/>
      <c r="I468" s="1"/>
    </row>
    <row r="469" spans="6:9" ht="15" customHeight="1" x14ac:dyDescent="0.2">
      <c r="F469" s="1"/>
      <c r="G469" s="1"/>
      <c r="H469" s="1"/>
      <c r="I469" s="1"/>
    </row>
    <row r="470" spans="6:9" ht="15" customHeight="1" x14ac:dyDescent="0.2">
      <c r="F470" s="1"/>
      <c r="G470" s="1"/>
      <c r="H470" s="1"/>
      <c r="I470" s="1"/>
    </row>
    <row r="471" spans="6:9" ht="15" customHeight="1" x14ac:dyDescent="0.2">
      <c r="F471" s="1"/>
      <c r="G471" s="1"/>
      <c r="H471" s="1"/>
      <c r="I471" s="1"/>
    </row>
    <row r="472" spans="6:9" ht="15" customHeight="1" x14ac:dyDescent="0.2">
      <c r="F472" s="1"/>
      <c r="G472" s="1"/>
      <c r="H472" s="1"/>
      <c r="I472" s="1"/>
    </row>
    <row r="473" spans="6:9" ht="15" customHeight="1" x14ac:dyDescent="0.2">
      <c r="F473" s="1"/>
      <c r="G473" s="1"/>
      <c r="H473" s="1"/>
      <c r="I473" s="1"/>
    </row>
    <row r="474" spans="6:9" ht="15" customHeight="1" x14ac:dyDescent="0.2">
      <c r="F474" s="1"/>
      <c r="G474" s="1"/>
      <c r="H474" s="1"/>
      <c r="I474" s="1"/>
    </row>
    <row r="475" spans="6:9" ht="15" customHeight="1" x14ac:dyDescent="0.2">
      <c r="F475" s="1"/>
      <c r="G475" s="1"/>
      <c r="H475" s="1"/>
      <c r="I475" s="1"/>
    </row>
    <row r="476" spans="6:9" ht="15" customHeight="1" x14ac:dyDescent="0.2">
      <c r="F476" s="1"/>
      <c r="G476" s="1"/>
      <c r="H476" s="1"/>
      <c r="I476" s="1"/>
    </row>
    <row r="477" spans="6:9" ht="15" customHeight="1" x14ac:dyDescent="0.2">
      <c r="F477" s="1"/>
      <c r="G477" s="1"/>
      <c r="H477" s="1"/>
      <c r="I477" s="1"/>
    </row>
    <row r="478" spans="6:9" ht="15" customHeight="1" x14ac:dyDescent="0.2">
      <c r="F478" s="1"/>
      <c r="G478" s="1"/>
      <c r="H478" s="1"/>
      <c r="I478" s="1"/>
    </row>
    <row r="479" spans="6:9" ht="15" customHeight="1" x14ac:dyDescent="0.2">
      <c r="F479" s="1"/>
      <c r="G479" s="1"/>
      <c r="H479" s="1"/>
      <c r="I479" s="1"/>
    </row>
    <row r="480" spans="6:9" ht="15" customHeight="1" x14ac:dyDescent="0.2">
      <c r="F480" s="1"/>
      <c r="G480" s="1"/>
      <c r="H480" s="1"/>
      <c r="I480" s="1"/>
    </row>
    <row r="481" spans="6:9" ht="15" customHeight="1" x14ac:dyDescent="0.2">
      <c r="F481" s="1"/>
      <c r="G481" s="1"/>
      <c r="H481" s="1"/>
      <c r="I481" s="1"/>
    </row>
    <row r="482" spans="6:9" ht="15" customHeight="1" x14ac:dyDescent="0.2">
      <c r="F482" s="1"/>
      <c r="G482" s="1"/>
      <c r="H482" s="1"/>
      <c r="I482" s="1"/>
    </row>
    <row r="483" spans="6:9" ht="15" customHeight="1" x14ac:dyDescent="0.2">
      <c r="F483" s="1"/>
      <c r="G483" s="1"/>
      <c r="H483" s="1"/>
      <c r="I483" s="1"/>
    </row>
    <row r="484" spans="6:9" ht="15" customHeight="1" x14ac:dyDescent="0.2">
      <c r="F484" s="1"/>
      <c r="G484" s="1"/>
      <c r="H484" s="1"/>
      <c r="I484" s="1"/>
    </row>
    <row r="485" spans="6:9" ht="15" customHeight="1" x14ac:dyDescent="0.2">
      <c r="F485" s="1"/>
      <c r="G485" s="1"/>
      <c r="H485" s="1"/>
      <c r="I485" s="1"/>
    </row>
    <row r="486" spans="6:9" ht="15" customHeight="1" x14ac:dyDescent="0.2">
      <c r="F486" s="1"/>
      <c r="G486" s="1"/>
      <c r="H486" s="1"/>
      <c r="I486" s="1"/>
    </row>
    <row r="487" spans="6:9" ht="15" customHeight="1" x14ac:dyDescent="0.2">
      <c r="F487" s="1"/>
      <c r="G487" s="1"/>
      <c r="H487" s="1"/>
      <c r="I487" s="1"/>
    </row>
    <row r="488" spans="6:9" ht="15" customHeight="1" x14ac:dyDescent="0.2">
      <c r="F488" s="1"/>
      <c r="G488" s="1"/>
      <c r="H488" s="1"/>
      <c r="I488" s="1"/>
    </row>
    <row r="489" spans="6:9" ht="15" customHeight="1" x14ac:dyDescent="0.2">
      <c r="F489" s="1"/>
      <c r="G489" s="1"/>
      <c r="H489" s="1"/>
      <c r="I489" s="1"/>
    </row>
    <row r="490" spans="6:9" ht="15" customHeight="1" x14ac:dyDescent="0.2">
      <c r="F490" s="1"/>
      <c r="G490" s="1"/>
      <c r="H490" s="1"/>
      <c r="I490" s="1"/>
    </row>
    <row r="491" spans="6:9" ht="15" customHeight="1" x14ac:dyDescent="0.2">
      <c r="F491" s="1"/>
      <c r="G491" s="1"/>
      <c r="H491" s="1"/>
      <c r="I491" s="1"/>
    </row>
    <row r="492" spans="6:9" ht="15" customHeight="1" x14ac:dyDescent="0.2">
      <c r="F492" s="1"/>
      <c r="G492" s="1"/>
      <c r="H492" s="1"/>
      <c r="I492" s="1"/>
    </row>
    <row r="493" spans="6:9" ht="15" customHeight="1" x14ac:dyDescent="0.2">
      <c r="F493" s="1"/>
      <c r="G493" s="1"/>
      <c r="H493" s="1"/>
      <c r="I493" s="1"/>
    </row>
    <row r="494" spans="6:9" ht="15" customHeight="1" x14ac:dyDescent="0.2">
      <c r="F494" s="1"/>
      <c r="G494" s="1"/>
      <c r="H494" s="1"/>
      <c r="I494" s="1"/>
    </row>
    <row r="495" spans="6:9" ht="15" customHeight="1" x14ac:dyDescent="0.2">
      <c r="F495" s="1"/>
      <c r="G495" s="1"/>
      <c r="H495" s="1"/>
      <c r="I495" s="1"/>
    </row>
    <row r="496" spans="6:9" ht="15" customHeight="1" x14ac:dyDescent="0.2">
      <c r="F496" s="1"/>
      <c r="G496" s="1"/>
      <c r="H496" s="1"/>
      <c r="I496" s="1"/>
    </row>
    <row r="497" spans="6:9" ht="15" customHeight="1" x14ac:dyDescent="0.2">
      <c r="F497" s="1"/>
      <c r="G497" s="1"/>
      <c r="H497" s="1"/>
      <c r="I497" s="1"/>
    </row>
    <row r="498" spans="6:9" ht="15" customHeight="1" x14ac:dyDescent="0.2">
      <c r="F498" s="1"/>
      <c r="G498" s="1"/>
      <c r="H498" s="1"/>
      <c r="I498" s="1"/>
    </row>
    <row r="499" spans="6:9" ht="15" customHeight="1" x14ac:dyDescent="0.2">
      <c r="F499" s="1"/>
      <c r="G499" s="1"/>
      <c r="H499" s="1"/>
      <c r="I499" s="1"/>
    </row>
    <row r="500" spans="6:9" ht="15" customHeight="1" x14ac:dyDescent="0.2">
      <c r="F500" s="1"/>
      <c r="G500" s="1"/>
      <c r="H500" s="1"/>
      <c r="I500" s="1"/>
    </row>
    <row r="501" spans="6:9" ht="15" customHeight="1" x14ac:dyDescent="0.2">
      <c r="F501" s="1"/>
      <c r="G501" s="1"/>
      <c r="H501" s="1"/>
      <c r="I501" s="1"/>
    </row>
    <row r="502" spans="6:9" ht="15" customHeight="1" x14ac:dyDescent="0.2">
      <c r="F502" s="1"/>
      <c r="G502" s="1"/>
      <c r="H502" s="1"/>
      <c r="I502" s="1"/>
    </row>
    <row r="503" spans="6:9" ht="15" customHeight="1" x14ac:dyDescent="0.2">
      <c r="F503" s="1"/>
      <c r="G503" s="1"/>
      <c r="H503" s="1"/>
      <c r="I503" s="1"/>
    </row>
    <row r="504" spans="6:9" ht="15" customHeight="1" x14ac:dyDescent="0.2">
      <c r="F504" s="1"/>
      <c r="G504" s="1"/>
      <c r="H504" s="1"/>
      <c r="I504" s="1"/>
    </row>
    <row r="505" spans="6:9" ht="15" customHeight="1" x14ac:dyDescent="0.2">
      <c r="F505" s="1"/>
      <c r="G505" s="1"/>
      <c r="H505" s="1"/>
      <c r="I505" s="1"/>
    </row>
    <row r="506" spans="6:9" ht="15" customHeight="1" x14ac:dyDescent="0.2">
      <c r="F506" s="1"/>
      <c r="G506" s="1"/>
      <c r="H506" s="1"/>
      <c r="I506" s="1"/>
    </row>
    <row r="507" spans="6:9" ht="15" customHeight="1" x14ac:dyDescent="0.2">
      <c r="F507" s="1"/>
      <c r="G507" s="1"/>
      <c r="H507" s="1"/>
      <c r="I507" s="1"/>
    </row>
    <row r="508" spans="6:9" ht="15" customHeight="1" x14ac:dyDescent="0.2">
      <c r="F508" s="1"/>
      <c r="G508" s="1"/>
      <c r="H508" s="1"/>
      <c r="I508" s="1"/>
    </row>
    <row r="509" spans="6:9" ht="15" customHeight="1" x14ac:dyDescent="0.2">
      <c r="F509" s="1"/>
      <c r="G509" s="1"/>
      <c r="H509" s="1"/>
      <c r="I509" s="1"/>
    </row>
    <row r="510" spans="6:9" ht="15" customHeight="1" x14ac:dyDescent="0.2">
      <c r="F510" s="1"/>
      <c r="G510" s="1"/>
      <c r="H510" s="1"/>
      <c r="I510" s="1"/>
    </row>
    <row r="511" spans="6:9" ht="15" customHeight="1" x14ac:dyDescent="0.2">
      <c r="F511" s="1"/>
      <c r="G511" s="1"/>
      <c r="H511" s="1"/>
      <c r="I511" s="1"/>
    </row>
    <row r="512" spans="6:9" ht="15" customHeight="1" x14ac:dyDescent="0.2">
      <c r="F512" s="1"/>
      <c r="G512" s="1"/>
      <c r="H512" s="1"/>
      <c r="I512" s="1"/>
    </row>
    <row r="513" spans="6:9" ht="15" customHeight="1" x14ac:dyDescent="0.2">
      <c r="F513" s="1"/>
      <c r="G513" s="1"/>
      <c r="H513" s="1"/>
      <c r="I513" s="1"/>
    </row>
    <row r="514" spans="6:9" ht="15" customHeight="1" x14ac:dyDescent="0.2">
      <c r="F514" s="1"/>
      <c r="G514" s="1"/>
      <c r="H514" s="1"/>
      <c r="I514" s="1"/>
    </row>
    <row r="515" spans="6:9" ht="15" customHeight="1" x14ac:dyDescent="0.2">
      <c r="F515" s="1"/>
      <c r="G515" s="1"/>
      <c r="H515" s="1"/>
      <c r="I515" s="1"/>
    </row>
    <row r="516" spans="6:9" ht="15" customHeight="1" x14ac:dyDescent="0.2">
      <c r="F516" s="1"/>
      <c r="G516" s="1"/>
      <c r="H516" s="1"/>
      <c r="I516" s="1"/>
    </row>
    <row r="517" spans="6:9" ht="15" customHeight="1" x14ac:dyDescent="0.2">
      <c r="F517" s="1"/>
      <c r="G517" s="1"/>
      <c r="H517" s="1"/>
      <c r="I517" s="1"/>
    </row>
    <row r="518" spans="6:9" ht="15" customHeight="1" x14ac:dyDescent="0.2">
      <c r="F518" s="1"/>
      <c r="G518" s="1"/>
      <c r="H518" s="1"/>
      <c r="I518" s="1"/>
    </row>
    <row r="519" spans="6:9" ht="15" customHeight="1" x14ac:dyDescent="0.2">
      <c r="F519" s="1"/>
      <c r="G519" s="1"/>
      <c r="H519" s="1"/>
      <c r="I519" s="1"/>
    </row>
    <row r="520" spans="6:9" ht="15" customHeight="1" x14ac:dyDescent="0.2">
      <c r="F520" s="1"/>
      <c r="G520" s="1"/>
      <c r="H520" s="1"/>
      <c r="I520" s="1"/>
    </row>
    <row r="521" spans="6:9" ht="15" customHeight="1" x14ac:dyDescent="0.2">
      <c r="F521" s="1"/>
      <c r="G521" s="1"/>
      <c r="H521" s="1"/>
      <c r="I521" s="1"/>
    </row>
    <row r="522" spans="6:9" ht="15" customHeight="1" x14ac:dyDescent="0.2">
      <c r="F522" s="1"/>
      <c r="G522" s="1"/>
      <c r="H522" s="1"/>
      <c r="I522" s="1"/>
    </row>
    <row r="523" spans="6:9" ht="15" customHeight="1" x14ac:dyDescent="0.2">
      <c r="F523" s="1"/>
      <c r="G523" s="1"/>
      <c r="H523" s="1"/>
      <c r="I523" s="1"/>
    </row>
    <row r="524" spans="6:9" ht="15" customHeight="1" x14ac:dyDescent="0.2">
      <c r="F524" s="1"/>
      <c r="G524" s="1"/>
      <c r="H524" s="1"/>
      <c r="I524" s="1"/>
    </row>
    <row r="525" spans="6:9" ht="15" customHeight="1" x14ac:dyDescent="0.2">
      <c r="F525" s="1"/>
      <c r="G525" s="1"/>
      <c r="H525" s="1"/>
      <c r="I525" s="1"/>
    </row>
    <row r="526" spans="6:9" ht="15" customHeight="1" x14ac:dyDescent="0.2">
      <c r="F526" s="1"/>
      <c r="G526" s="1"/>
      <c r="H526" s="1"/>
      <c r="I526" s="1"/>
    </row>
    <row r="527" spans="6:9" ht="15" customHeight="1" x14ac:dyDescent="0.2">
      <c r="F527" s="1"/>
      <c r="G527" s="1"/>
      <c r="H527" s="1"/>
      <c r="I527" s="1"/>
    </row>
    <row r="528" spans="6:9" ht="15" customHeight="1" x14ac:dyDescent="0.2">
      <c r="F528" s="1"/>
      <c r="G528" s="1"/>
      <c r="H528" s="1"/>
      <c r="I528" s="1"/>
    </row>
    <row r="529" spans="6:9" ht="15" customHeight="1" x14ac:dyDescent="0.2">
      <c r="F529" s="1"/>
      <c r="G529" s="1"/>
      <c r="H529" s="1"/>
      <c r="I529" s="1"/>
    </row>
    <row r="530" spans="6:9" ht="15" customHeight="1" x14ac:dyDescent="0.2">
      <c r="F530" s="1"/>
      <c r="G530" s="1"/>
      <c r="H530" s="1"/>
      <c r="I530" s="1"/>
    </row>
    <row r="531" spans="6:9" ht="15" customHeight="1" x14ac:dyDescent="0.2">
      <c r="F531" s="1"/>
      <c r="G531" s="1"/>
      <c r="H531" s="1"/>
      <c r="I531" s="1"/>
    </row>
    <row r="532" spans="6:9" ht="15" customHeight="1" x14ac:dyDescent="0.2">
      <c r="F532" s="1"/>
      <c r="G532" s="1"/>
      <c r="H532" s="1"/>
      <c r="I532" s="1"/>
    </row>
    <row r="533" spans="6:9" ht="15" customHeight="1" x14ac:dyDescent="0.2">
      <c r="F533" s="1"/>
      <c r="G533" s="1"/>
      <c r="H533" s="1"/>
      <c r="I533" s="1"/>
    </row>
    <row r="534" spans="6:9" ht="15" customHeight="1" x14ac:dyDescent="0.2">
      <c r="F534" s="1"/>
      <c r="G534" s="1"/>
      <c r="H534" s="1"/>
      <c r="I534" s="1"/>
    </row>
    <row r="535" spans="6:9" ht="15" customHeight="1" x14ac:dyDescent="0.2">
      <c r="F535" s="1"/>
      <c r="G535" s="1"/>
      <c r="H535" s="1"/>
      <c r="I535" s="1"/>
    </row>
    <row r="536" spans="6:9" ht="15" customHeight="1" x14ac:dyDescent="0.2">
      <c r="F536" s="1"/>
      <c r="G536" s="1"/>
      <c r="H536" s="1"/>
      <c r="I536" s="1"/>
    </row>
    <row r="537" spans="6:9" ht="15" customHeight="1" x14ac:dyDescent="0.2">
      <c r="F537" s="1"/>
      <c r="G537" s="1"/>
      <c r="H537" s="1"/>
      <c r="I537" s="1"/>
    </row>
    <row r="538" spans="6:9" ht="15" customHeight="1" x14ac:dyDescent="0.2">
      <c r="F538" s="1"/>
      <c r="G538" s="1"/>
      <c r="H538" s="1"/>
      <c r="I538" s="1"/>
    </row>
    <row r="539" spans="6:9" ht="15" customHeight="1" x14ac:dyDescent="0.2">
      <c r="F539" s="1"/>
      <c r="G539" s="1"/>
      <c r="H539" s="1"/>
      <c r="I539" s="1"/>
    </row>
    <row r="540" spans="6:9" ht="15" customHeight="1" x14ac:dyDescent="0.2">
      <c r="F540" s="1"/>
      <c r="G540" s="1"/>
      <c r="H540" s="1"/>
      <c r="I540" s="1"/>
    </row>
    <row r="541" spans="6:9" ht="15" customHeight="1" x14ac:dyDescent="0.2">
      <c r="F541" s="1"/>
      <c r="G541" s="1"/>
      <c r="H541" s="1"/>
      <c r="I541" s="1"/>
    </row>
    <row r="542" spans="6:9" ht="15" customHeight="1" x14ac:dyDescent="0.2">
      <c r="F542" s="1"/>
      <c r="G542" s="1"/>
      <c r="H542" s="1"/>
      <c r="I542" s="1"/>
    </row>
    <row r="543" spans="6:9" ht="15" customHeight="1" x14ac:dyDescent="0.2">
      <c r="F543" s="1"/>
      <c r="G543" s="1"/>
      <c r="H543" s="1"/>
      <c r="I543" s="1"/>
    </row>
    <row r="544" spans="6:9" ht="15" customHeight="1" x14ac:dyDescent="0.2">
      <c r="F544" s="1"/>
      <c r="G544" s="1"/>
      <c r="H544" s="1"/>
      <c r="I544" s="1"/>
    </row>
    <row r="545" spans="6:9" ht="15" customHeight="1" x14ac:dyDescent="0.2">
      <c r="F545" s="1"/>
      <c r="G545" s="1"/>
      <c r="H545" s="1"/>
      <c r="I545" s="1"/>
    </row>
    <row r="546" spans="6:9" ht="15" customHeight="1" x14ac:dyDescent="0.2">
      <c r="F546" s="1"/>
      <c r="G546" s="1"/>
      <c r="H546" s="1"/>
      <c r="I546" s="1"/>
    </row>
    <row r="547" spans="6:9" ht="15" customHeight="1" x14ac:dyDescent="0.2">
      <c r="F547" s="1"/>
      <c r="G547" s="1"/>
      <c r="H547" s="1"/>
      <c r="I547" s="1"/>
    </row>
    <row r="548" spans="6:9" ht="15" customHeight="1" x14ac:dyDescent="0.2">
      <c r="F548" s="1"/>
      <c r="G548" s="1"/>
      <c r="H548" s="1"/>
      <c r="I548" s="1"/>
    </row>
    <row r="549" spans="6:9" ht="15" customHeight="1" x14ac:dyDescent="0.2">
      <c r="F549" s="1"/>
      <c r="G549" s="1"/>
      <c r="H549" s="1"/>
      <c r="I549" s="1"/>
    </row>
    <row r="550" spans="6:9" ht="15" customHeight="1" x14ac:dyDescent="0.2">
      <c r="F550" s="1"/>
      <c r="G550" s="1"/>
      <c r="H550" s="1"/>
      <c r="I550" s="1"/>
    </row>
    <row r="551" spans="6:9" ht="15" customHeight="1" x14ac:dyDescent="0.2">
      <c r="F551" s="1"/>
      <c r="G551" s="1"/>
      <c r="H551" s="1"/>
      <c r="I551" s="1"/>
    </row>
    <row r="552" spans="6:9" ht="15" customHeight="1" x14ac:dyDescent="0.2">
      <c r="F552" s="1"/>
      <c r="G552" s="1"/>
      <c r="H552" s="1"/>
      <c r="I552" s="1"/>
    </row>
    <row r="553" spans="6:9" ht="15" customHeight="1" x14ac:dyDescent="0.2">
      <c r="F553" s="1"/>
      <c r="G553" s="1"/>
      <c r="H553" s="1"/>
      <c r="I553" s="1"/>
    </row>
    <row r="554" spans="6:9" ht="15" customHeight="1" x14ac:dyDescent="0.2">
      <c r="F554" s="1"/>
      <c r="G554" s="1"/>
      <c r="H554" s="1"/>
      <c r="I554" s="1"/>
    </row>
    <row r="555" spans="6:9" ht="15" customHeight="1" x14ac:dyDescent="0.2">
      <c r="F555" s="1"/>
      <c r="G555" s="1"/>
      <c r="H555" s="1"/>
      <c r="I555" s="1"/>
    </row>
    <row r="556" spans="6:9" ht="15" customHeight="1" x14ac:dyDescent="0.2">
      <c r="F556" s="1"/>
      <c r="G556" s="1"/>
      <c r="H556" s="1"/>
      <c r="I556" s="1"/>
    </row>
    <row r="557" spans="6:9" ht="15" customHeight="1" x14ac:dyDescent="0.2">
      <c r="F557" s="1"/>
      <c r="G557" s="1"/>
      <c r="H557" s="1"/>
      <c r="I557" s="1"/>
    </row>
    <row r="558" spans="6:9" ht="15" customHeight="1" x14ac:dyDescent="0.2">
      <c r="F558" s="1"/>
      <c r="G558" s="1"/>
      <c r="H558" s="1"/>
      <c r="I558" s="1"/>
    </row>
    <row r="559" spans="6:9" ht="15" customHeight="1" x14ac:dyDescent="0.2">
      <c r="F559" s="1"/>
      <c r="G559" s="1"/>
      <c r="H559" s="1"/>
      <c r="I559" s="1"/>
    </row>
    <row r="560" spans="6:9" ht="15" customHeight="1" x14ac:dyDescent="0.2">
      <c r="F560" s="1"/>
      <c r="G560" s="1"/>
      <c r="H560" s="1"/>
      <c r="I560" s="1"/>
    </row>
    <row r="561" spans="6:9" ht="15" customHeight="1" x14ac:dyDescent="0.2">
      <c r="F561" s="1"/>
      <c r="G561" s="1"/>
      <c r="H561" s="1"/>
      <c r="I561" s="1"/>
    </row>
    <row r="562" spans="6:9" ht="15" customHeight="1" x14ac:dyDescent="0.2">
      <c r="F562" s="1"/>
      <c r="G562" s="1"/>
      <c r="H562" s="1"/>
      <c r="I562" s="1"/>
    </row>
    <row r="563" spans="6:9" ht="15" customHeight="1" x14ac:dyDescent="0.2">
      <c r="F563" s="1"/>
      <c r="G563" s="1"/>
      <c r="H563" s="1"/>
      <c r="I563" s="1"/>
    </row>
    <row r="564" spans="6:9" ht="15" customHeight="1" x14ac:dyDescent="0.2">
      <c r="F564" s="1"/>
      <c r="G564" s="1"/>
      <c r="H564" s="1"/>
      <c r="I564" s="1"/>
    </row>
    <row r="565" spans="6:9" ht="15" customHeight="1" x14ac:dyDescent="0.2">
      <c r="F565" s="1"/>
      <c r="G565" s="1"/>
      <c r="H565" s="1"/>
      <c r="I565" s="1"/>
    </row>
    <row r="566" spans="6:9" ht="15" customHeight="1" x14ac:dyDescent="0.2">
      <c r="F566" s="1"/>
      <c r="G566" s="1"/>
      <c r="H566" s="1"/>
      <c r="I566" s="1"/>
    </row>
    <row r="567" spans="6:9" ht="15" customHeight="1" x14ac:dyDescent="0.2">
      <c r="F567" s="1"/>
      <c r="G567" s="1"/>
      <c r="H567" s="1"/>
      <c r="I567" s="1"/>
    </row>
    <row r="568" spans="6:9" ht="15" customHeight="1" x14ac:dyDescent="0.2">
      <c r="F568" s="1"/>
      <c r="G568" s="1"/>
      <c r="H568" s="1"/>
      <c r="I568" s="1"/>
    </row>
    <row r="569" spans="6:9" ht="15" customHeight="1" x14ac:dyDescent="0.2">
      <c r="F569" s="1"/>
      <c r="G569" s="1"/>
      <c r="H569" s="1"/>
      <c r="I569" s="1"/>
    </row>
    <row r="570" spans="6:9" ht="15" customHeight="1" x14ac:dyDescent="0.2">
      <c r="F570" s="1"/>
      <c r="G570" s="1"/>
      <c r="H570" s="1"/>
      <c r="I570" s="1"/>
    </row>
    <row r="571" spans="6:9" ht="15" customHeight="1" x14ac:dyDescent="0.2">
      <c r="F571" s="1"/>
      <c r="G571" s="1"/>
      <c r="H571" s="1"/>
      <c r="I571" s="1"/>
    </row>
    <row r="572" spans="6:9" ht="15" customHeight="1" x14ac:dyDescent="0.2">
      <c r="F572" s="1"/>
      <c r="G572" s="1"/>
      <c r="H572" s="1"/>
      <c r="I572" s="1"/>
    </row>
    <row r="573" spans="6:9" ht="15" customHeight="1" x14ac:dyDescent="0.2">
      <c r="F573" s="1"/>
      <c r="G573" s="1"/>
      <c r="H573" s="1"/>
      <c r="I573" s="1"/>
    </row>
    <row r="574" spans="6:9" ht="15" customHeight="1" x14ac:dyDescent="0.2">
      <c r="F574" s="1"/>
      <c r="G574" s="1"/>
      <c r="H574" s="1"/>
      <c r="I574" s="1"/>
    </row>
    <row r="575" spans="6:9" ht="15" customHeight="1" x14ac:dyDescent="0.2">
      <c r="F575" s="1"/>
      <c r="G575" s="1"/>
      <c r="H575" s="1"/>
      <c r="I575" s="1"/>
    </row>
    <row r="576" spans="6:9" ht="15" customHeight="1" x14ac:dyDescent="0.2">
      <c r="F576" s="1"/>
      <c r="G576" s="1"/>
      <c r="H576" s="1"/>
      <c r="I576" s="1"/>
    </row>
    <row r="577" spans="6:9" ht="15" customHeight="1" x14ac:dyDescent="0.2">
      <c r="F577" s="1"/>
      <c r="G577" s="1"/>
      <c r="H577" s="1"/>
      <c r="I577" s="1"/>
    </row>
    <row r="578" spans="6:9" ht="15" customHeight="1" x14ac:dyDescent="0.2">
      <c r="F578" s="1"/>
      <c r="G578" s="1"/>
      <c r="H578" s="1"/>
      <c r="I578" s="1"/>
    </row>
    <row r="579" spans="6:9" ht="15" customHeight="1" x14ac:dyDescent="0.2">
      <c r="F579" s="1"/>
      <c r="G579" s="1"/>
      <c r="H579" s="1"/>
      <c r="I579" s="1"/>
    </row>
    <row r="580" spans="6:9" ht="15" customHeight="1" x14ac:dyDescent="0.2">
      <c r="F580" s="1"/>
      <c r="G580" s="1"/>
      <c r="H580" s="1"/>
      <c r="I580" s="1"/>
    </row>
    <row r="581" spans="6:9" ht="15" customHeight="1" x14ac:dyDescent="0.2">
      <c r="F581" s="1"/>
      <c r="G581" s="1"/>
      <c r="H581" s="1"/>
      <c r="I581" s="1"/>
    </row>
    <row r="582" spans="6:9" ht="15" customHeight="1" x14ac:dyDescent="0.2">
      <c r="F582" s="1"/>
      <c r="G582" s="1"/>
      <c r="H582" s="1"/>
      <c r="I582" s="1"/>
    </row>
    <row r="583" spans="6:9" ht="15" customHeight="1" x14ac:dyDescent="0.2">
      <c r="F583" s="1"/>
      <c r="G583" s="1"/>
      <c r="H583" s="1"/>
      <c r="I583" s="1"/>
    </row>
    <row r="584" spans="6:9" ht="15" customHeight="1" x14ac:dyDescent="0.2">
      <c r="F584" s="1"/>
      <c r="G584" s="1"/>
      <c r="H584" s="1"/>
      <c r="I584" s="1"/>
    </row>
    <row r="585" spans="6:9" ht="15" customHeight="1" x14ac:dyDescent="0.2">
      <c r="F585" s="1"/>
      <c r="G585" s="1"/>
      <c r="H585" s="1"/>
      <c r="I585" s="1"/>
    </row>
    <row r="586" spans="6:9" ht="15" customHeight="1" x14ac:dyDescent="0.2">
      <c r="F586" s="1"/>
      <c r="G586" s="1"/>
      <c r="H586" s="1"/>
      <c r="I586" s="1"/>
    </row>
    <row r="587" spans="6:9" ht="15" customHeight="1" x14ac:dyDescent="0.2">
      <c r="F587" s="1"/>
      <c r="G587" s="1"/>
      <c r="H587" s="1"/>
      <c r="I587" s="1"/>
    </row>
    <row r="588" spans="6:9" ht="15" customHeight="1" x14ac:dyDescent="0.2">
      <c r="F588" s="1"/>
      <c r="G588" s="1"/>
      <c r="H588" s="1"/>
      <c r="I588" s="1"/>
    </row>
    <row r="589" spans="6:9" ht="15" customHeight="1" x14ac:dyDescent="0.2">
      <c r="F589" s="1"/>
      <c r="G589" s="1"/>
      <c r="H589" s="1"/>
      <c r="I589" s="1"/>
    </row>
    <row r="590" spans="6:9" ht="15" customHeight="1" x14ac:dyDescent="0.2">
      <c r="F590" s="1"/>
      <c r="G590" s="1"/>
      <c r="H590" s="1"/>
      <c r="I590" s="1"/>
    </row>
    <row r="591" spans="6:9" ht="15" customHeight="1" x14ac:dyDescent="0.2">
      <c r="F591" s="1"/>
      <c r="G591" s="1"/>
      <c r="H591" s="1"/>
      <c r="I591" s="1"/>
    </row>
    <row r="592" spans="6:9" ht="15" customHeight="1" x14ac:dyDescent="0.2">
      <c r="F592" s="1"/>
      <c r="G592" s="1"/>
      <c r="H592" s="1"/>
      <c r="I592" s="1"/>
    </row>
    <row r="593" spans="3:9" ht="15" customHeight="1" x14ac:dyDescent="0.2">
      <c r="F593" s="1"/>
      <c r="G593" s="1"/>
      <c r="H593" s="1"/>
      <c r="I593" s="1"/>
    </row>
    <row r="594" spans="3:9" ht="15" customHeight="1" x14ac:dyDescent="0.2">
      <c r="F594" s="1"/>
      <c r="G594" s="1"/>
      <c r="H594" s="1"/>
      <c r="I594" s="1"/>
    </row>
    <row r="595" spans="3:9" ht="15" customHeight="1" x14ac:dyDescent="0.2">
      <c r="F595" s="1"/>
      <c r="G595" s="1"/>
      <c r="H595" s="1"/>
      <c r="I595" s="1"/>
    </row>
    <row r="596" spans="3:9" ht="15" customHeight="1" x14ac:dyDescent="0.2">
      <c r="F596" s="1"/>
      <c r="G596" s="1"/>
      <c r="H596" s="1"/>
      <c r="I596" s="1"/>
    </row>
    <row r="597" spans="3:9" ht="15" customHeight="1" x14ac:dyDescent="0.2">
      <c r="F597" s="1"/>
      <c r="G597" s="1"/>
      <c r="H597" s="1"/>
      <c r="I597" s="1"/>
    </row>
    <row r="598" spans="3:9" ht="15" customHeight="1" x14ac:dyDescent="0.2">
      <c r="F598" s="1"/>
      <c r="G598" s="1"/>
      <c r="H598" s="1"/>
      <c r="I598" s="1"/>
    </row>
    <row r="599" spans="3:9" ht="15" customHeight="1" x14ac:dyDescent="0.2">
      <c r="F599" s="1"/>
      <c r="G599" s="1"/>
      <c r="H599" s="1"/>
      <c r="I599" s="1"/>
    </row>
    <row r="600" spans="3:9" ht="15" customHeight="1" x14ac:dyDescent="0.2">
      <c r="F600" s="1"/>
      <c r="G600" s="1"/>
      <c r="H600" s="1"/>
      <c r="I600" s="1"/>
    </row>
    <row r="601" spans="3:9" ht="15" customHeight="1" x14ac:dyDescent="0.2">
      <c r="F601" s="1"/>
      <c r="G601" s="1"/>
      <c r="H601" s="1"/>
      <c r="I601" s="1"/>
    </row>
    <row r="602" spans="3:9" ht="15" customHeight="1" x14ac:dyDescent="0.2">
      <c r="F602" s="1"/>
      <c r="G602" s="1"/>
      <c r="H602" s="1"/>
      <c r="I602" s="1"/>
    </row>
    <row r="603" spans="3:9" ht="15" customHeight="1" x14ac:dyDescent="0.2">
      <c r="F603" s="1"/>
      <c r="G603" s="1"/>
      <c r="H603" s="1"/>
      <c r="I603" s="1"/>
    </row>
    <row r="604" spans="3:9" ht="15" customHeight="1" x14ac:dyDescent="0.2">
      <c r="F604" s="1"/>
      <c r="G604" s="1"/>
      <c r="H604" s="1"/>
      <c r="I604" s="1"/>
    </row>
    <row r="605" spans="3:9" ht="15" customHeight="1" x14ac:dyDescent="0.2">
      <c r="F605" s="1"/>
      <c r="G605" s="1"/>
      <c r="H605" s="1"/>
      <c r="I605" s="1"/>
    </row>
    <row r="606" spans="3:9" ht="15" customHeight="1" x14ac:dyDescent="0.2">
      <c r="F606" s="1"/>
      <c r="G606" s="1"/>
      <c r="H606" s="1"/>
      <c r="I606" s="1"/>
    </row>
    <row r="607" spans="3:9" ht="15" customHeight="1" x14ac:dyDescent="0.2">
      <c r="C607" s="100"/>
      <c r="D607" s="100"/>
      <c r="F607" s="1"/>
      <c r="G607" s="1"/>
      <c r="H607" s="1"/>
      <c r="I607" s="1"/>
    </row>
    <row r="608" spans="3:9" ht="15" customHeight="1" x14ac:dyDescent="0.2">
      <c r="C608" s="100"/>
      <c r="D608" s="100"/>
      <c r="F608" s="1"/>
      <c r="G608" s="1"/>
      <c r="H608" s="1"/>
      <c r="I608" s="1"/>
    </row>
    <row r="609" spans="3:9" ht="15" customHeight="1" x14ac:dyDescent="0.2">
      <c r="C609" s="100"/>
      <c r="D609" s="100"/>
      <c r="F609" s="1"/>
      <c r="G609" s="1"/>
      <c r="H609" s="1"/>
      <c r="I609" s="1"/>
    </row>
    <row r="610" spans="3:9" ht="15" customHeight="1" x14ac:dyDescent="0.2">
      <c r="C610" s="100"/>
      <c r="D610" s="100"/>
      <c r="F610" s="1"/>
      <c r="G610" s="1"/>
      <c r="H610" s="1"/>
      <c r="I610" s="1"/>
    </row>
    <row r="611" spans="3:9" ht="15" customHeight="1" x14ac:dyDescent="0.2">
      <c r="C611" s="100"/>
      <c r="D611" s="100"/>
      <c r="F611" s="1"/>
      <c r="G611" s="1"/>
      <c r="H611" s="1"/>
      <c r="I611" s="1"/>
    </row>
    <row r="612" spans="3:9" ht="15" customHeight="1" x14ac:dyDescent="0.2">
      <c r="C612" s="100"/>
      <c r="D612" s="100"/>
      <c r="F612" s="1"/>
      <c r="G612" s="1"/>
      <c r="H612" s="1"/>
      <c r="I612" s="1"/>
    </row>
    <row r="613" spans="3:9" ht="15" customHeight="1" x14ac:dyDescent="0.2">
      <c r="C613" s="100"/>
      <c r="D613" s="100"/>
      <c r="F613" s="1"/>
      <c r="G613" s="1"/>
      <c r="H613" s="1"/>
      <c r="I613" s="1"/>
    </row>
    <row r="614" spans="3:9" ht="15" customHeight="1" x14ac:dyDescent="0.2">
      <c r="C614" s="100"/>
      <c r="D614" s="100"/>
      <c r="F614" s="1"/>
      <c r="G614" s="1"/>
      <c r="H614" s="1"/>
      <c r="I614" s="1"/>
    </row>
    <row r="615" spans="3:9" ht="15" customHeight="1" x14ac:dyDescent="0.2">
      <c r="C615" s="100"/>
      <c r="D615" s="100"/>
      <c r="F615" s="1"/>
      <c r="G615" s="1"/>
      <c r="H615" s="1"/>
      <c r="I615" s="1"/>
    </row>
    <row r="616" spans="3:9" ht="15" customHeight="1" x14ac:dyDescent="0.2">
      <c r="C616" s="100"/>
      <c r="D616" s="100"/>
      <c r="F616" s="1"/>
      <c r="G616" s="1"/>
      <c r="H616" s="1"/>
      <c r="I616" s="1"/>
    </row>
    <row r="617" spans="3:9" ht="15" customHeight="1" x14ac:dyDescent="0.2">
      <c r="C617" s="100"/>
      <c r="D617" s="100"/>
      <c r="F617" s="1"/>
      <c r="G617" s="1"/>
      <c r="H617" s="1"/>
      <c r="I617" s="1"/>
    </row>
    <row r="618" spans="3:9" ht="15" customHeight="1" x14ac:dyDescent="0.2">
      <c r="C618" s="100"/>
      <c r="D618" s="100"/>
      <c r="F618" s="1"/>
      <c r="G618" s="1"/>
      <c r="H618" s="1"/>
      <c r="I618" s="1"/>
    </row>
    <row r="619" spans="3:9" ht="15" customHeight="1" x14ac:dyDescent="0.2">
      <c r="C619" s="100"/>
      <c r="D619" s="100"/>
      <c r="F619" s="1"/>
      <c r="G619" s="1"/>
      <c r="H619" s="1"/>
      <c r="I619" s="1"/>
    </row>
    <row r="620" spans="3:9" ht="15" customHeight="1" x14ac:dyDescent="0.2">
      <c r="C620" s="100"/>
      <c r="D620" s="100"/>
      <c r="F620" s="1"/>
      <c r="G620" s="1"/>
      <c r="H620" s="1"/>
      <c r="I620" s="1"/>
    </row>
    <row r="621" spans="3:9" ht="15" customHeight="1" x14ac:dyDescent="0.2">
      <c r="C621" s="100"/>
      <c r="D621" s="100"/>
      <c r="F621" s="1"/>
      <c r="G621" s="1"/>
      <c r="H621" s="1"/>
      <c r="I621" s="1"/>
    </row>
    <row r="622" spans="3:9" ht="15" customHeight="1" x14ac:dyDescent="0.2">
      <c r="C622" s="100"/>
      <c r="D622" s="100"/>
      <c r="F622" s="1"/>
      <c r="G622" s="1"/>
      <c r="H622" s="1"/>
      <c r="I622" s="1"/>
    </row>
    <row r="623" spans="3:9" ht="15" customHeight="1" x14ac:dyDescent="0.2">
      <c r="C623" s="100"/>
      <c r="D623" s="100"/>
      <c r="F623" s="1"/>
      <c r="G623" s="1"/>
      <c r="H623" s="1"/>
      <c r="I623" s="1"/>
    </row>
    <row r="624" spans="3:9" ht="15" customHeight="1" x14ac:dyDescent="0.2">
      <c r="C624" s="100"/>
      <c r="D624" s="100"/>
      <c r="F624" s="1"/>
      <c r="G624" s="1"/>
      <c r="H624" s="1"/>
      <c r="I624" s="1"/>
    </row>
    <row r="625" spans="3:9" ht="15" customHeight="1" x14ac:dyDescent="0.2">
      <c r="C625" s="100"/>
      <c r="D625" s="100"/>
      <c r="F625" s="1"/>
      <c r="G625" s="1"/>
      <c r="H625" s="1"/>
      <c r="I625" s="1"/>
    </row>
    <row r="626" spans="3:9" ht="15" customHeight="1" x14ac:dyDescent="0.2">
      <c r="C626" s="100"/>
      <c r="D626" s="100"/>
      <c r="F626" s="1"/>
      <c r="G626" s="1"/>
      <c r="H626" s="1"/>
      <c r="I626" s="1"/>
    </row>
    <row r="627" spans="3:9" ht="15" customHeight="1" x14ac:dyDescent="0.2">
      <c r="C627" s="100"/>
      <c r="D627" s="100"/>
      <c r="F627" s="1"/>
      <c r="G627" s="1"/>
      <c r="H627" s="1"/>
      <c r="I627" s="1"/>
    </row>
    <row r="628" spans="3:9" ht="15" customHeight="1" x14ac:dyDescent="0.2">
      <c r="C628" s="100"/>
      <c r="D628" s="100"/>
      <c r="F628" s="1"/>
      <c r="G628" s="1"/>
      <c r="H628" s="1"/>
      <c r="I628" s="1"/>
    </row>
    <row r="629" spans="3:9" ht="15" customHeight="1" x14ac:dyDescent="0.2">
      <c r="C629" s="100"/>
      <c r="D629" s="100"/>
      <c r="F629" s="1"/>
      <c r="G629" s="1"/>
      <c r="H629" s="1"/>
      <c r="I629" s="1"/>
    </row>
    <row r="630" spans="3:9" ht="15" customHeight="1" x14ac:dyDescent="0.2">
      <c r="C630" s="100"/>
      <c r="D630" s="100"/>
      <c r="F630" s="1"/>
      <c r="G630" s="1"/>
      <c r="H630" s="1"/>
      <c r="I630" s="1"/>
    </row>
    <row r="631" spans="3:9" ht="15" customHeight="1" x14ac:dyDescent="0.2">
      <c r="C631" s="100"/>
      <c r="D631" s="100"/>
      <c r="F631" s="1"/>
      <c r="G631" s="1"/>
      <c r="H631" s="1"/>
      <c r="I631" s="1"/>
    </row>
    <row r="632" spans="3:9" ht="15" customHeight="1" x14ac:dyDescent="0.2">
      <c r="C632" s="100"/>
      <c r="D632" s="100"/>
      <c r="F632" s="1"/>
      <c r="G632" s="1"/>
      <c r="H632" s="1"/>
      <c r="I632" s="1"/>
    </row>
    <row r="633" spans="3:9" ht="15" customHeight="1" x14ac:dyDescent="0.2">
      <c r="C633" s="100"/>
      <c r="D633" s="100"/>
      <c r="F633" s="1"/>
      <c r="G633" s="1"/>
      <c r="H633" s="1"/>
      <c r="I633" s="1"/>
    </row>
    <row r="634" spans="3:9" ht="15" customHeight="1" x14ac:dyDescent="0.2">
      <c r="C634" s="100"/>
      <c r="D634" s="100"/>
      <c r="F634" s="1"/>
      <c r="G634" s="1"/>
      <c r="H634" s="1"/>
      <c r="I634" s="1"/>
    </row>
    <row r="635" spans="3:9" ht="15" customHeight="1" x14ac:dyDescent="0.2">
      <c r="C635" s="100"/>
      <c r="D635" s="100"/>
      <c r="F635" s="1"/>
      <c r="G635" s="1"/>
      <c r="H635" s="1"/>
      <c r="I635" s="1"/>
    </row>
    <row r="636" spans="3:9" ht="15" customHeight="1" x14ac:dyDescent="0.2">
      <c r="C636" s="100"/>
      <c r="D636" s="100"/>
      <c r="F636" s="1"/>
      <c r="G636" s="1"/>
      <c r="H636" s="1"/>
      <c r="I636" s="1"/>
    </row>
    <row r="637" spans="3:9" ht="15" customHeight="1" x14ac:dyDescent="0.2">
      <c r="C637" s="100"/>
      <c r="D637" s="100"/>
      <c r="F637" s="1"/>
      <c r="G637" s="1"/>
      <c r="H637" s="1"/>
      <c r="I637" s="1"/>
    </row>
    <row r="638" spans="3:9" ht="15" customHeight="1" x14ac:dyDescent="0.2">
      <c r="C638" s="100"/>
      <c r="D638" s="100"/>
      <c r="F638" s="1"/>
      <c r="G638" s="1"/>
      <c r="H638" s="1"/>
      <c r="I638" s="1"/>
    </row>
    <row r="639" spans="3:9" ht="15" customHeight="1" x14ac:dyDescent="0.2">
      <c r="C639" s="100"/>
      <c r="D639" s="100"/>
      <c r="F639" s="1"/>
      <c r="G639" s="1"/>
      <c r="H639" s="1"/>
      <c r="I639" s="1"/>
    </row>
    <row r="640" spans="3:9" ht="15" customHeight="1" x14ac:dyDescent="0.2">
      <c r="C640" s="100"/>
      <c r="D640" s="100"/>
      <c r="F640" s="1"/>
      <c r="G640" s="1"/>
      <c r="H640" s="1"/>
      <c r="I640" s="1"/>
    </row>
    <row r="641" spans="3:9" ht="15" customHeight="1" x14ac:dyDescent="0.2">
      <c r="C641" s="100"/>
      <c r="D641" s="100"/>
      <c r="F641" s="1"/>
      <c r="G641" s="1"/>
      <c r="H641" s="1"/>
      <c r="I641" s="1"/>
    </row>
    <row r="642" spans="3:9" ht="15" customHeight="1" x14ac:dyDescent="0.2">
      <c r="C642" s="100"/>
      <c r="D642" s="100"/>
      <c r="F642" s="1"/>
      <c r="G642" s="1"/>
      <c r="H642" s="1"/>
      <c r="I642" s="1"/>
    </row>
    <row r="643" spans="3:9" ht="15" customHeight="1" x14ac:dyDescent="0.2">
      <c r="C643" s="100"/>
      <c r="D643" s="100"/>
      <c r="F643" s="1"/>
      <c r="G643" s="1"/>
      <c r="H643" s="1"/>
      <c r="I643" s="1"/>
    </row>
    <row r="644" spans="3:9" ht="15" customHeight="1" x14ac:dyDescent="0.2">
      <c r="C644" s="100"/>
      <c r="D644" s="100"/>
      <c r="F644" s="1"/>
      <c r="G644" s="1"/>
      <c r="H644" s="1"/>
      <c r="I644" s="1"/>
    </row>
    <row r="645" spans="3:9" ht="15" customHeight="1" x14ac:dyDescent="0.2">
      <c r="C645" s="100"/>
      <c r="D645" s="100"/>
      <c r="F645" s="1"/>
      <c r="G645" s="1"/>
      <c r="H645" s="1"/>
      <c r="I645" s="1"/>
    </row>
    <row r="646" spans="3:9" ht="15" customHeight="1" x14ac:dyDescent="0.2">
      <c r="C646" s="100"/>
      <c r="D646" s="100"/>
      <c r="F646" s="1"/>
      <c r="G646" s="1"/>
      <c r="H646" s="1"/>
      <c r="I646" s="1"/>
    </row>
    <row r="647" spans="3:9" ht="15" customHeight="1" x14ac:dyDescent="0.2">
      <c r="C647" s="100"/>
      <c r="D647" s="100"/>
      <c r="F647" s="1"/>
      <c r="G647" s="1"/>
      <c r="H647" s="1"/>
      <c r="I647" s="1"/>
    </row>
    <row r="648" spans="3:9" ht="15" customHeight="1" x14ac:dyDescent="0.2">
      <c r="C648" s="100"/>
      <c r="D648" s="100"/>
      <c r="F648" s="1"/>
      <c r="G648" s="1"/>
      <c r="H648" s="1"/>
      <c r="I648" s="1"/>
    </row>
    <row r="649" spans="3:9" ht="15" customHeight="1" x14ac:dyDescent="0.2">
      <c r="C649" s="100"/>
      <c r="D649" s="100"/>
      <c r="F649" s="1"/>
      <c r="G649" s="1"/>
      <c r="H649" s="1"/>
      <c r="I649" s="1"/>
    </row>
    <row r="650" spans="3:9" ht="15" customHeight="1" x14ac:dyDescent="0.2">
      <c r="C650" s="100"/>
      <c r="D650" s="100"/>
      <c r="F650" s="1"/>
      <c r="G650" s="1"/>
      <c r="H650" s="1"/>
      <c r="I650" s="1"/>
    </row>
    <row r="651" spans="3:9" ht="15" customHeight="1" x14ac:dyDescent="0.2">
      <c r="C651" s="100"/>
      <c r="D651" s="100"/>
      <c r="F651" s="1"/>
      <c r="G651" s="1"/>
      <c r="H651" s="1"/>
      <c r="I651" s="1"/>
    </row>
    <row r="652" spans="3:9" ht="15" customHeight="1" x14ac:dyDescent="0.2">
      <c r="C652" s="100"/>
      <c r="D652" s="100"/>
      <c r="F652" s="1"/>
      <c r="G652" s="1"/>
      <c r="H652" s="1"/>
      <c r="I652" s="1"/>
    </row>
    <row r="653" spans="3:9" ht="15" customHeight="1" x14ac:dyDescent="0.2">
      <c r="C653" s="100"/>
      <c r="D653" s="100"/>
      <c r="F653" s="1"/>
      <c r="G653" s="1"/>
      <c r="H653" s="1"/>
      <c r="I653" s="1"/>
    </row>
    <row r="654" spans="3:9" ht="15" customHeight="1" x14ac:dyDescent="0.2">
      <c r="C654" s="100"/>
      <c r="D654" s="100"/>
      <c r="F654" s="1"/>
      <c r="G654" s="1"/>
      <c r="H654" s="1"/>
      <c r="I654" s="1"/>
    </row>
    <row r="655" spans="3:9" ht="15" customHeight="1" x14ac:dyDescent="0.2">
      <c r="C655" s="100"/>
      <c r="D655" s="100"/>
      <c r="F655" s="1"/>
      <c r="G655" s="1"/>
      <c r="H655" s="1"/>
      <c r="I655" s="1"/>
    </row>
    <row r="656" spans="3:9" ht="15" customHeight="1" x14ac:dyDescent="0.2">
      <c r="C656" s="100"/>
      <c r="D656" s="100"/>
      <c r="F656" s="1"/>
      <c r="G656" s="1"/>
      <c r="H656" s="1"/>
      <c r="I656" s="1"/>
    </row>
    <row r="657" spans="3:9" ht="15" customHeight="1" x14ac:dyDescent="0.2">
      <c r="C657" s="100"/>
      <c r="D657" s="100"/>
      <c r="F657" s="1"/>
      <c r="G657" s="1"/>
      <c r="H657" s="1"/>
      <c r="I657" s="1"/>
    </row>
    <row r="658" spans="3:9" ht="15" customHeight="1" x14ac:dyDescent="0.2">
      <c r="C658" s="100"/>
      <c r="D658" s="100"/>
      <c r="F658" s="1"/>
      <c r="G658" s="1"/>
      <c r="H658" s="1"/>
      <c r="I658" s="1"/>
    </row>
    <row r="659" spans="3:9" ht="15" customHeight="1" x14ac:dyDescent="0.2">
      <c r="C659" s="100"/>
      <c r="D659" s="100"/>
      <c r="F659" s="1"/>
      <c r="G659" s="1"/>
      <c r="H659" s="1"/>
      <c r="I659" s="1"/>
    </row>
    <row r="660" spans="3:9" ht="15" customHeight="1" x14ac:dyDescent="0.2">
      <c r="C660" s="100"/>
      <c r="D660" s="100"/>
      <c r="F660" s="1"/>
      <c r="G660" s="1"/>
      <c r="H660" s="1"/>
      <c r="I660" s="1"/>
    </row>
    <row r="661" spans="3:9" ht="15" customHeight="1" x14ac:dyDescent="0.2">
      <c r="C661" s="100"/>
      <c r="D661" s="100"/>
      <c r="F661" s="1"/>
      <c r="G661" s="1"/>
      <c r="H661" s="1"/>
      <c r="I661" s="1"/>
    </row>
    <row r="662" spans="3:9" ht="15" customHeight="1" x14ac:dyDescent="0.2">
      <c r="C662" s="100"/>
      <c r="D662" s="100"/>
      <c r="F662" s="1"/>
      <c r="G662" s="1"/>
      <c r="H662" s="1"/>
      <c r="I662" s="1"/>
    </row>
    <row r="663" spans="3:9" ht="15" customHeight="1" x14ac:dyDescent="0.2">
      <c r="C663" s="100"/>
      <c r="D663" s="100"/>
      <c r="F663" s="1"/>
      <c r="G663" s="1"/>
      <c r="H663" s="1"/>
      <c r="I663" s="1"/>
    </row>
    <row r="664" spans="3:9" ht="15" customHeight="1" x14ac:dyDescent="0.2">
      <c r="C664" s="100"/>
      <c r="D664" s="100"/>
      <c r="F664" s="1"/>
      <c r="G664" s="1"/>
      <c r="H664" s="1"/>
      <c r="I664" s="1"/>
    </row>
    <row r="665" spans="3:9" ht="15" customHeight="1" x14ac:dyDescent="0.2">
      <c r="C665" s="100"/>
      <c r="D665" s="100"/>
      <c r="F665" s="1"/>
      <c r="G665" s="1"/>
      <c r="H665" s="1"/>
      <c r="I665" s="1"/>
    </row>
    <row r="666" spans="3:9" ht="15" customHeight="1" x14ac:dyDescent="0.2">
      <c r="C666" s="100"/>
      <c r="D666" s="100"/>
      <c r="F666" s="1"/>
      <c r="G666" s="1"/>
      <c r="H666" s="1"/>
      <c r="I666" s="1"/>
    </row>
    <row r="667" spans="3:9" ht="15" customHeight="1" x14ac:dyDescent="0.2">
      <c r="C667" s="100"/>
      <c r="D667" s="100"/>
      <c r="F667" s="1"/>
      <c r="G667" s="1"/>
      <c r="H667" s="1"/>
      <c r="I667" s="1"/>
    </row>
    <row r="668" spans="3:9" ht="15" customHeight="1" x14ac:dyDescent="0.2">
      <c r="C668" s="100"/>
      <c r="D668" s="100"/>
      <c r="F668" s="1"/>
      <c r="G668" s="1"/>
      <c r="H668" s="1"/>
      <c r="I668" s="1"/>
    </row>
    <row r="669" spans="3:9" ht="15" customHeight="1" x14ac:dyDescent="0.2">
      <c r="C669" s="100"/>
      <c r="D669" s="100"/>
      <c r="F669" s="1"/>
      <c r="G669" s="1"/>
      <c r="H669" s="1"/>
      <c r="I669" s="1"/>
    </row>
    <row r="670" spans="3:9" ht="15" customHeight="1" x14ac:dyDescent="0.2">
      <c r="C670" s="100"/>
      <c r="D670" s="100"/>
      <c r="F670" s="1"/>
      <c r="G670" s="1"/>
      <c r="H670" s="1"/>
      <c r="I670" s="1"/>
    </row>
    <row r="671" spans="3:9" ht="15" customHeight="1" x14ac:dyDescent="0.2">
      <c r="C671" s="100"/>
      <c r="D671" s="100"/>
      <c r="F671" s="1"/>
      <c r="G671" s="1"/>
      <c r="H671" s="1"/>
      <c r="I671" s="1"/>
    </row>
    <row r="672" spans="3:9" ht="15" customHeight="1" x14ac:dyDescent="0.2">
      <c r="C672" s="100"/>
      <c r="D672" s="100"/>
    </row>
    <row r="673" spans="3:4" ht="15" customHeight="1" x14ac:dyDescent="0.2">
      <c r="C673" s="100"/>
      <c r="D673" s="100"/>
    </row>
    <row r="674" spans="3:4" ht="15" customHeight="1" x14ac:dyDescent="0.2">
      <c r="C674" s="100"/>
      <c r="D674" s="100"/>
    </row>
    <row r="675" spans="3:4" ht="15" customHeight="1" x14ac:dyDescent="0.2">
      <c r="C675" s="100"/>
      <c r="D675" s="100"/>
    </row>
    <row r="676" spans="3:4" ht="15" customHeight="1" x14ac:dyDescent="0.2">
      <c r="C676" s="100"/>
      <c r="D676" s="100"/>
    </row>
    <row r="677" spans="3:4" ht="15" customHeight="1" x14ac:dyDescent="0.2">
      <c r="C677" s="100"/>
      <c r="D677" s="100"/>
    </row>
    <row r="678" spans="3:4" ht="15" customHeight="1" x14ac:dyDescent="0.2">
      <c r="C678" s="100"/>
      <c r="D678" s="100"/>
    </row>
    <row r="679" spans="3:4" ht="15" customHeight="1" x14ac:dyDescent="0.2">
      <c r="C679" s="100"/>
      <c r="D679" s="100"/>
    </row>
    <row r="680" spans="3:4" ht="15" customHeight="1" x14ac:dyDescent="0.2">
      <c r="C680" s="100"/>
      <c r="D680" s="100"/>
    </row>
    <row r="681" spans="3:4" ht="15" customHeight="1" x14ac:dyDescent="0.2">
      <c r="C681" s="100"/>
      <c r="D681" s="100"/>
    </row>
    <row r="682" spans="3:4" ht="15" customHeight="1" x14ac:dyDescent="0.2">
      <c r="C682" s="100"/>
      <c r="D682" s="100"/>
    </row>
    <row r="683" spans="3:4" ht="15" customHeight="1" x14ac:dyDescent="0.2">
      <c r="C683" s="100"/>
      <c r="D683" s="100"/>
    </row>
    <row r="684" spans="3:4" ht="15" customHeight="1" x14ac:dyDescent="0.2">
      <c r="C684" s="100"/>
      <c r="D684" s="100"/>
    </row>
    <row r="685" spans="3:4" ht="15" customHeight="1" x14ac:dyDescent="0.2">
      <c r="C685" s="100"/>
      <c r="D685" s="100"/>
    </row>
    <row r="686" spans="3:4" ht="15" customHeight="1" x14ac:dyDescent="0.2">
      <c r="C686" s="100"/>
      <c r="D686" s="100"/>
    </row>
    <row r="687" spans="3:4" ht="15" customHeight="1" x14ac:dyDescent="0.2">
      <c r="C687" s="100"/>
      <c r="D687" s="100"/>
    </row>
    <row r="688" spans="3:4" ht="15" customHeight="1" x14ac:dyDescent="0.2">
      <c r="C688" s="100"/>
      <c r="D688" s="100"/>
    </row>
    <row r="689" spans="3:4" ht="15" customHeight="1" x14ac:dyDescent="0.2">
      <c r="C689" s="100"/>
      <c r="D689" s="100"/>
    </row>
    <row r="690" spans="3:4" ht="15" customHeight="1" x14ac:dyDescent="0.2">
      <c r="C690" s="100"/>
      <c r="D690" s="100"/>
    </row>
    <row r="691" spans="3:4" ht="15" customHeight="1" x14ac:dyDescent="0.2">
      <c r="C691" s="100"/>
      <c r="D691" s="100"/>
    </row>
    <row r="692" spans="3:4" ht="15" customHeight="1" x14ac:dyDescent="0.2">
      <c r="C692" s="100"/>
      <c r="D692" s="100"/>
    </row>
    <row r="693" spans="3:4" ht="15" customHeight="1" x14ac:dyDescent="0.2">
      <c r="C693" s="100"/>
      <c r="D693" s="100"/>
    </row>
    <row r="694" spans="3:4" ht="15" customHeight="1" x14ac:dyDescent="0.2">
      <c r="C694" s="100"/>
      <c r="D694" s="100"/>
    </row>
    <row r="695" spans="3:4" ht="15" customHeight="1" x14ac:dyDescent="0.2">
      <c r="C695" s="100"/>
      <c r="D695" s="100"/>
    </row>
    <row r="696" spans="3:4" ht="15" customHeight="1" x14ac:dyDescent="0.2">
      <c r="C696" s="100"/>
      <c r="D696" s="100"/>
    </row>
    <row r="697" spans="3:4" ht="15" customHeight="1" x14ac:dyDescent="0.2">
      <c r="C697" s="100"/>
      <c r="D697" s="100"/>
    </row>
    <row r="698" spans="3:4" ht="15" customHeight="1" x14ac:dyDescent="0.2">
      <c r="C698" s="100"/>
      <c r="D698" s="100"/>
    </row>
    <row r="699" spans="3:4" ht="15" customHeight="1" x14ac:dyDescent="0.2">
      <c r="C699" s="100"/>
      <c r="D699" s="100"/>
    </row>
    <row r="700" spans="3:4" ht="15" customHeight="1" x14ac:dyDescent="0.2">
      <c r="C700" s="100"/>
      <c r="D700" s="100"/>
    </row>
    <row r="701" spans="3:4" ht="15" customHeight="1" x14ac:dyDescent="0.2">
      <c r="C701" s="100"/>
      <c r="D701" s="100"/>
    </row>
    <row r="702" spans="3:4" ht="15" customHeight="1" x14ac:dyDescent="0.2">
      <c r="C702" s="100"/>
      <c r="D702" s="100"/>
    </row>
    <row r="703" spans="3:4" ht="15" customHeight="1" x14ac:dyDescent="0.2">
      <c r="C703" s="100"/>
      <c r="D703" s="100"/>
    </row>
    <row r="704" spans="3:4" ht="15" customHeight="1" x14ac:dyDescent="0.2">
      <c r="C704" s="100"/>
      <c r="D704" s="100"/>
    </row>
    <row r="705" spans="3:4" ht="15" customHeight="1" x14ac:dyDescent="0.2">
      <c r="C705" s="100"/>
      <c r="D705" s="100"/>
    </row>
    <row r="706" spans="3:4" ht="15" customHeight="1" x14ac:dyDescent="0.2">
      <c r="C706" s="100"/>
      <c r="D706" s="100"/>
    </row>
    <row r="707" spans="3:4" ht="15" customHeight="1" x14ac:dyDescent="0.2">
      <c r="C707" s="100"/>
      <c r="D707" s="100"/>
    </row>
    <row r="708" spans="3:4" ht="15" customHeight="1" x14ac:dyDescent="0.2">
      <c r="C708" s="100"/>
      <c r="D708" s="100"/>
    </row>
    <row r="709" spans="3:4" ht="15" customHeight="1" x14ac:dyDescent="0.2">
      <c r="C709" s="100"/>
      <c r="D709" s="100"/>
    </row>
    <row r="710" spans="3:4" ht="15" customHeight="1" x14ac:dyDescent="0.2">
      <c r="C710" s="100"/>
      <c r="D710" s="100"/>
    </row>
    <row r="711" spans="3:4" ht="15" customHeight="1" x14ac:dyDescent="0.2">
      <c r="C711" s="100"/>
      <c r="D711" s="100"/>
    </row>
    <row r="712" spans="3:4" ht="15" customHeight="1" x14ac:dyDescent="0.2">
      <c r="C712" s="100"/>
      <c r="D712" s="100"/>
    </row>
    <row r="713" spans="3:4" ht="15" customHeight="1" x14ac:dyDescent="0.2">
      <c r="C713" s="100"/>
      <c r="D713" s="100"/>
    </row>
    <row r="714" spans="3:4" ht="15" customHeight="1" x14ac:dyDescent="0.2">
      <c r="C714" s="100"/>
      <c r="D714" s="100"/>
    </row>
    <row r="715" spans="3:4" ht="15" customHeight="1" x14ac:dyDescent="0.2">
      <c r="C715" s="100"/>
      <c r="D715" s="100"/>
    </row>
    <row r="716" spans="3:4" ht="15" customHeight="1" x14ac:dyDescent="0.2">
      <c r="C716" s="100"/>
      <c r="D716" s="100"/>
    </row>
    <row r="717" spans="3:4" ht="15" customHeight="1" x14ac:dyDescent="0.2">
      <c r="C717" s="100"/>
      <c r="D717" s="100"/>
    </row>
    <row r="718" spans="3:4" ht="15" customHeight="1" x14ac:dyDescent="0.2">
      <c r="C718" s="100"/>
      <c r="D718" s="100"/>
    </row>
    <row r="719" spans="3:4" ht="15" customHeight="1" x14ac:dyDescent="0.2">
      <c r="C719" s="100"/>
      <c r="D719" s="100"/>
    </row>
    <row r="720" spans="3:4" ht="15" customHeight="1" x14ac:dyDescent="0.2">
      <c r="C720" s="100"/>
      <c r="D720" s="100"/>
    </row>
    <row r="721" spans="3:4" ht="15" customHeight="1" x14ac:dyDescent="0.2">
      <c r="C721" s="100"/>
      <c r="D721" s="100"/>
    </row>
    <row r="722" spans="3:4" ht="15" customHeight="1" x14ac:dyDescent="0.2">
      <c r="C722" s="100"/>
      <c r="D722" s="100"/>
    </row>
    <row r="723" spans="3:4" ht="15" customHeight="1" x14ac:dyDescent="0.2">
      <c r="C723" s="100"/>
      <c r="D723" s="100"/>
    </row>
    <row r="724" spans="3:4" ht="15" customHeight="1" x14ac:dyDescent="0.2">
      <c r="C724" s="100"/>
      <c r="D724" s="100"/>
    </row>
    <row r="725" spans="3:4" ht="15" customHeight="1" x14ac:dyDescent="0.2">
      <c r="C725" s="100"/>
      <c r="D725" s="100"/>
    </row>
    <row r="726" spans="3:4" ht="15" customHeight="1" x14ac:dyDescent="0.2">
      <c r="C726" s="100"/>
      <c r="D726" s="100"/>
    </row>
    <row r="727" spans="3:4" ht="15" customHeight="1" x14ac:dyDescent="0.2">
      <c r="C727" s="100"/>
      <c r="D727" s="100"/>
    </row>
    <row r="728" spans="3:4" ht="15" customHeight="1" x14ac:dyDescent="0.2">
      <c r="C728" s="100"/>
      <c r="D728" s="100"/>
    </row>
    <row r="729" spans="3:4" ht="15" customHeight="1" x14ac:dyDescent="0.2">
      <c r="C729" s="100"/>
      <c r="D729" s="100"/>
    </row>
    <row r="730" spans="3:4" ht="15" customHeight="1" x14ac:dyDescent="0.2">
      <c r="C730" s="100"/>
      <c r="D730" s="100"/>
    </row>
    <row r="731" spans="3:4" ht="15" customHeight="1" x14ac:dyDescent="0.2">
      <c r="C731" s="100"/>
      <c r="D731" s="100"/>
    </row>
    <row r="732" spans="3:4" ht="15" customHeight="1" x14ac:dyDescent="0.2">
      <c r="C732" s="100"/>
      <c r="D732" s="100"/>
    </row>
    <row r="733" spans="3:4" ht="15" customHeight="1" x14ac:dyDescent="0.2">
      <c r="C733" s="100"/>
      <c r="D733" s="100"/>
    </row>
    <row r="734" spans="3:4" ht="15" customHeight="1" x14ac:dyDescent="0.2">
      <c r="C734" s="100"/>
      <c r="D734" s="100"/>
    </row>
    <row r="735" spans="3:4" ht="15" customHeight="1" x14ac:dyDescent="0.2">
      <c r="C735" s="100"/>
      <c r="D735" s="100"/>
    </row>
    <row r="736" spans="3:4" ht="15" customHeight="1" x14ac:dyDescent="0.2">
      <c r="C736" s="100"/>
      <c r="D736" s="100"/>
    </row>
    <row r="737" spans="3:4" ht="15" customHeight="1" x14ac:dyDescent="0.2">
      <c r="C737" s="100"/>
      <c r="D737" s="100"/>
    </row>
    <row r="738" spans="3:4" ht="15" customHeight="1" x14ac:dyDescent="0.2">
      <c r="C738" s="100"/>
      <c r="D738" s="100"/>
    </row>
    <row r="739" spans="3:4" ht="15" customHeight="1" x14ac:dyDescent="0.2">
      <c r="C739" s="100"/>
      <c r="D739" s="100"/>
    </row>
    <row r="740" spans="3:4" ht="15" customHeight="1" x14ac:dyDescent="0.2">
      <c r="C740" s="100"/>
      <c r="D740" s="100"/>
    </row>
    <row r="741" spans="3:4" ht="15" customHeight="1" x14ac:dyDescent="0.2">
      <c r="C741" s="100"/>
      <c r="D741" s="100"/>
    </row>
    <row r="742" spans="3:4" ht="15" customHeight="1" x14ac:dyDescent="0.2">
      <c r="C742" s="100"/>
      <c r="D742" s="100"/>
    </row>
    <row r="743" spans="3:4" ht="15" customHeight="1" x14ac:dyDescent="0.2">
      <c r="C743" s="100"/>
      <c r="D743" s="100"/>
    </row>
    <row r="744" spans="3:4" ht="15" customHeight="1" x14ac:dyDescent="0.2">
      <c r="C744" s="100"/>
      <c r="D744" s="100"/>
    </row>
    <row r="745" spans="3:4" ht="15" customHeight="1" x14ac:dyDescent="0.2">
      <c r="C745" s="100"/>
      <c r="D745" s="100"/>
    </row>
    <row r="746" spans="3:4" ht="15" customHeight="1" x14ac:dyDescent="0.2">
      <c r="C746" s="100"/>
      <c r="D746" s="100"/>
    </row>
    <row r="747" spans="3:4" ht="15" customHeight="1" x14ac:dyDescent="0.2">
      <c r="C747" s="100"/>
      <c r="D747" s="100"/>
    </row>
    <row r="748" spans="3:4" ht="15" customHeight="1" x14ac:dyDescent="0.2">
      <c r="C748" s="100"/>
      <c r="D748" s="100"/>
    </row>
    <row r="749" spans="3:4" ht="15" customHeight="1" x14ac:dyDescent="0.2">
      <c r="C749" s="100"/>
      <c r="D749" s="100"/>
    </row>
    <row r="750" spans="3:4" ht="15" customHeight="1" x14ac:dyDescent="0.2">
      <c r="C750" s="100"/>
      <c r="D750" s="100"/>
    </row>
    <row r="751" spans="3:4" ht="15" customHeight="1" x14ac:dyDescent="0.2">
      <c r="C751" s="100"/>
      <c r="D751" s="100"/>
    </row>
    <row r="752" spans="3:4" ht="15" customHeight="1" x14ac:dyDescent="0.2">
      <c r="C752" s="100"/>
      <c r="D752" s="100"/>
    </row>
    <row r="753" spans="3:4" ht="15" customHeight="1" x14ac:dyDescent="0.2">
      <c r="C753" s="100"/>
      <c r="D753" s="100"/>
    </row>
    <row r="754" spans="3:4" ht="15" customHeight="1" x14ac:dyDescent="0.2">
      <c r="C754" s="100"/>
      <c r="D754" s="100"/>
    </row>
    <row r="755" spans="3:4" ht="15" customHeight="1" x14ac:dyDescent="0.2">
      <c r="C755" s="100"/>
      <c r="D755" s="100"/>
    </row>
    <row r="756" spans="3:4" ht="15" customHeight="1" x14ac:dyDescent="0.2">
      <c r="C756" s="100"/>
      <c r="D756" s="100"/>
    </row>
    <row r="757" spans="3:4" ht="15" customHeight="1" x14ac:dyDescent="0.2">
      <c r="C757" s="100"/>
      <c r="D757" s="100"/>
    </row>
    <row r="758" spans="3:4" ht="15" customHeight="1" x14ac:dyDescent="0.2">
      <c r="C758" s="100"/>
      <c r="D758" s="100"/>
    </row>
    <row r="759" spans="3:4" ht="15" customHeight="1" x14ac:dyDescent="0.2">
      <c r="C759" s="100"/>
      <c r="D759" s="100"/>
    </row>
    <row r="760" spans="3:4" ht="15" customHeight="1" x14ac:dyDescent="0.2">
      <c r="C760" s="100"/>
      <c r="D760" s="100"/>
    </row>
    <row r="761" spans="3:4" ht="15" customHeight="1" x14ac:dyDescent="0.2">
      <c r="C761" s="100"/>
      <c r="D761" s="100"/>
    </row>
    <row r="762" spans="3:4" ht="15" customHeight="1" x14ac:dyDescent="0.2">
      <c r="C762" s="100"/>
      <c r="D762" s="100"/>
    </row>
    <row r="763" spans="3:4" ht="15" customHeight="1" x14ac:dyDescent="0.2">
      <c r="C763" s="100"/>
      <c r="D763" s="100"/>
    </row>
    <row r="764" spans="3:4" ht="15" customHeight="1" x14ac:dyDescent="0.2">
      <c r="C764" s="100"/>
      <c r="D764" s="100"/>
    </row>
    <row r="765" spans="3:4" ht="15" customHeight="1" x14ac:dyDescent="0.2">
      <c r="C765" s="100"/>
      <c r="D765" s="100"/>
    </row>
    <row r="766" spans="3:4" ht="15" customHeight="1" x14ac:dyDescent="0.2">
      <c r="C766" s="100"/>
      <c r="D766" s="100"/>
    </row>
    <row r="767" spans="3:4" ht="15" customHeight="1" x14ac:dyDescent="0.2">
      <c r="C767" s="100"/>
      <c r="D767" s="100"/>
    </row>
    <row r="768" spans="3:4" ht="15" customHeight="1" x14ac:dyDescent="0.2">
      <c r="C768" s="100"/>
      <c r="D768" s="100"/>
    </row>
    <row r="769" spans="3:4" ht="15" customHeight="1" x14ac:dyDescent="0.2">
      <c r="C769" s="100"/>
      <c r="D769" s="100"/>
    </row>
    <row r="770" spans="3:4" ht="15" customHeight="1" x14ac:dyDescent="0.2">
      <c r="C770" s="100"/>
      <c r="D770" s="100"/>
    </row>
    <row r="771" spans="3:4" ht="15" customHeight="1" x14ac:dyDescent="0.2">
      <c r="C771" s="100"/>
      <c r="D771" s="100"/>
    </row>
    <row r="772" spans="3:4" ht="15" customHeight="1" x14ac:dyDescent="0.2">
      <c r="C772" s="100"/>
      <c r="D772" s="100"/>
    </row>
    <row r="773" spans="3:4" ht="15" customHeight="1" x14ac:dyDescent="0.2">
      <c r="C773" s="100"/>
      <c r="D773" s="100"/>
    </row>
    <row r="774" spans="3:4" ht="15" customHeight="1" x14ac:dyDescent="0.2">
      <c r="C774" s="100"/>
      <c r="D774" s="100"/>
    </row>
    <row r="775" spans="3:4" ht="15" customHeight="1" x14ac:dyDescent="0.2">
      <c r="C775" s="100"/>
      <c r="D775" s="100"/>
    </row>
    <row r="776" spans="3:4" ht="15" customHeight="1" x14ac:dyDescent="0.2">
      <c r="C776" s="100"/>
      <c r="D776" s="100"/>
    </row>
    <row r="777" spans="3:4" ht="15" customHeight="1" x14ac:dyDescent="0.2">
      <c r="C777" s="100"/>
      <c r="D777" s="100"/>
    </row>
    <row r="778" spans="3:4" ht="15" customHeight="1" x14ac:dyDescent="0.2">
      <c r="C778" s="100"/>
      <c r="D778" s="100"/>
    </row>
    <row r="779" spans="3:4" ht="15" customHeight="1" x14ac:dyDescent="0.2">
      <c r="C779" s="100"/>
      <c r="D779" s="100"/>
    </row>
    <row r="780" spans="3:4" ht="15" customHeight="1" x14ac:dyDescent="0.2">
      <c r="C780" s="100"/>
      <c r="D780" s="100"/>
    </row>
    <row r="781" spans="3:4" ht="15" customHeight="1" x14ac:dyDescent="0.2">
      <c r="C781" s="100"/>
      <c r="D781" s="100"/>
    </row>
    <row r="782" spans="3:4" ht="15" customHeight="1" x14ac:dyDescent="0.2">
      <c r="C782" s="100"/>
      <c r="D782" s="100"/>
    </row>
    <row r="783" spans="3:4" ht="15" customHeight="1" x14ac:dyDescent="0.2">
      <c r="C783" s="100"/>
      <c r="D783" s="100"/>
    </row>
    <row r="784" spans="3:4" ht="15" customHeight="1" x14ac:dyDescent="0.2">
      <c r="C784" s="100"/>
      <c r="D784" s="100"/>
    </row>
    <row r="785" spans="3:4" ht="15" customHeight="1" x14ac:dyDescent="0.2">
      <c r="C785" s="100"/>
      <c r="D785" s="100"/>
    </row>
    <row r="786" spans="3:4" ht="15" customHeight="1" x14ac:dyDescent="0.2">
      <c r="C786" s="100"/>
      <c r="D786" s="100"/>
    </row>
    <row r="787" spans="3:4" ht="15" customHeight="1" x14ac:dyDescent="0.2">
      <c r="C787" s="100"/>
      <c r="D787" s="100"/>
    </row>
    <row r="788" spans="3:4" ht="15" customHeight="1" x14ac:dyDescent="0.2">
      <c r="C788" s="100"/>
      <c r="D788" s="100"/>
    </row>
    <row r="789" spans="3:4" ht="15" customHeight="1" x14ac:dyDescent="0.2">
      <c r="C789" s="100"/>
      <c r="D789" s="100"/>
    </row>
    <row r="790" spans="3:4" ht="15" customHeight="1" x14ac:dyDescent="0.2">
      <c r="C790" s="100"/>
      <c r="D790" s="100"/>
    </row>
    <row r="791" spans="3:4" ht="15" customHeight="1" x14ac:dyDescent="0.2">
      <c r="C791" s="100"/>
      <c r="D791" s="100"/>
    </row>
    <row r="792" spans="3:4" ht="15" customHeight="1" x14ac:dyDescent="0.2">
      <c r="C792" s="100"/>
      <c r="D792" s="100"/>
    </row>
    <row r="793" spans="3:4" ht="15" customHeight="1" x14ac:dyDescent="0.2">
      <c r="C793" s="100"/>
      <c r="D793" s="100"/>
    </row>
    <row r="794" spans="3:4" ht="15" customHeight="1" x14ac:dyDescent="0.2">
      <c r="C794" s="100"/>
      <c r="D794" s="100"/>
    </row>
    <row r="795" spans="3:4" ht="15" customHeight="1" x14ac:dyDescent="0.2">
      <c r="C795" s="100"/>
      <c r="D795" s="100"/>
    </row>
    <row r="796" spans="3:4" ht="15" customHeight="1" x14ac:dyDescent="0.2">
      <c r="C796" s="100"/>
      <c r="D796" s="100"/>
    </row>
    <row r="797" spans="3:4" ht="15" customHeight="1" x14ac:dyDescent="0.2">
      <c r="C797" s="100"/>
      <c r="D797" s="100"/>
    </row>
    <row r="798" spans="3:4" ht="15" customHeight="1" x14ac:dyDescent="0.2">
      <c r="C798" s="100"/>
      <c r="D798" s="100"/>
    </row>
    <row r="799" spans="3:4" ht="15" customHeight="1" x14ac:dyDescent="0.2">
      <c r="C799" s="100"/>
      <c r="D799" s="100"/>
    </row>
    <row r="800" spans="3:4" ht="15" customHeight="1" x14ac:dyDescent="0.2">
      <c r="C800" s="100"/>
      <c r="D800" s="100"/>
    </row>
    <row r="801" spans="3:4" ht="15" customHeight="1" x14ac:dyDescent="0.2">
      <c r="C801" s="100"/>
      <c r="D801" s="100"/>
    </row>
    <row r="802" spans="3:4" ht="15" customHeight="1" x14ac:dyDescent="0.2">
      <c r="C802" s="100"/>
      <c r="D802" s="100"/>
    </row>
    <row r="803" spans="3:4" ht="15" customHeight="1" x14ac:dyDescent="0.2">
      <c r="C803" s="100"/>
      <c r="D803" s="100"/>
    </row>
    <row r="804" spans="3:4" ht="15" customHeight="1" x14ac:dyDescent="0.2">
      <c r="C804" s="100"/>
      <c r="D804" s="100"/>
    </row>
    <row r="805" spans="3:4" ht="15" customHeight="1" x14ac:dyDescent="0.2">
      <c r="C805" s="100"/>
      <c r="D805" s="100"/>
    </row>
    <row r="806" spans="3:4" ht="15" customHeight="1" x14ac:dyDescent="0.2">
      <c r="C806" s="100"/>
      <c r="D806" s="100"/>
    </row>
    <row r="807" spans="3:4" ht="15" customHeight="1" x14ac:dyDescent="0.2">
      <c r="C807" s="100"/>
      <c r="D807" s="100"/>
    </row>
    <row r="808" spans="3:4" ht="15" customHeight="1" x14ac:dyDescent="0.2">
      <c r="C808" s="100"/>
      <c r="D808" s="100"/>
    </row>
    <row r="809" spans="3:4" ht="15" customHeight="1" x14ac:dyDescent="0.2">
      <c r="C809" s="100"/>
      <c r="D809" s="100"/>
    </row>
    <row r="810" spans="3:4" ht="15" customHeight="1" x14ac:dyDescent="0.2">
      <c r="C810" s="100"/>
      <c r="D810" s="100"/>
    </row>
    <row r="811" spans="3:4" ht="15" customHeight="1" x14ac:dyDescent="0.2">
      <c r="C811" s="100"/>
      <c r="D811" s="100"/>
    </row>
    <row r="812" spans="3:4" ht="15" customHeight="1" x14ac:dyDescent="0.2">
      <c r="C812" s="100"/>
      <c r="D812" s="100"/>
    </row>
    <row r="813" spans="3:4" ht="15" customHeight="1" x14ac:dyDescent="0.2">
      <c r="C813" s="100"/>
      <c r="D813" s="100"/>
    </row>
    <row r="814" spans="3:4" ht="15" customHeight="1" x14ac:dyDescent="0.2">
      <c r="C814" s="100"/>
      <c r="D814" s="100"/>
    </row>
    <row r="815" spans="3:4" ht="15" customHeight="1" x14ac:dyDescent="0.2">
      <c r="C815" s="100"/>
      <c r="D815" s="100"/>
    </row>
    <row r="816" spans="3:4" ht="15" customHeight="1" x14ac:dyDescent="0.2">
      <c r="C816" s="100"/>
      <c r="D816" s="100"/>
    </row>
    <row r="817" spans="3:4" ht="15" customHeight="1" x14ac:dyDescent="0.2">
      <c r="C817" s="100"/>
      <c r="D817" s="100"/>
    </row>
    <row r="818" spans="3:4" ht="15" customHeight="1" x14ac:dyDescent="0.2">
      <c r="C818" s="100"/>
      <c r="D818" s="100"/>
    </row>
    <row r="819" spans="3:4" ht="15" customHeight="1" x14ac:dyDescent="0.2">
      <c r="C819" s="100"/>
      <c r="D819" s="100"/>
    </row>
    <row r="820" spans="3:4" ht="15" customHeight="1" x14ac:dyDescent="0.2">
      <c r="C820" s="100"/>
      <c r="D820" s="100"/>
    </row>
    <row r="821" spans="3:4" ht="15" customHeight="1" x14ac:dyDescent="0.2">
      <c r="C821" s="100"/>
      <c r="D821" s="100"/>
    </row>
    <row r="822" spans="3:4" ht="15" customHeight="1" x14ac:dyDescent="0.2">
      <c r="C822" s="100"/>
      <c r="D822" s="100"/>
    </row>
    <row r="823" spans="3:4" ht="15" customHeight="1" x14ac:dyDescent="0.2">
      <c r="C823" s="100"/>
      <c r="D823" s="100"/>
    </row>
    <row r="824" spans="3:4" ht="15" customHeight="1" x14ac:dyDescent="0.2">
      <c r="C824" s="100"/>
      <c r="D824" s="100"/>
    </row>
    <row r="825" spans="3:4" ht="15" customHeight="1" x14ac:dyDescent="0.2">
      <c r="C825" s="100"/>
      <c r="D825" s="100"/>
    </row>
    <row r="826" spans="3:4" ht="15" customHeight="1" x14ac:dyDescent="0.2">
      <c r="C826" s="100"/>
      <c r="D826" s="100"/>
    </row>
    <row r="827" spans="3:4" ht="15" customHeight="1" x14ac:dyDescent="0.2">
      <c r="C827" s="100"/>
      <c r="D827" s="100"/>
    </row>
    <row r="828" spans="3:4" ht="15" customHeight="1" x14ac:dyDescent="0.2">
      <c r="C828" s="100"/>
      <c r="D828" s="100"/>
    </row>
    <row r="829" spans="3:4" ht="15" customHeight="1" x14ac:dyDescent="0.2">
      <c r="C829" s="100"/>
      <c r="D829" s="100"/>
    </row>
    <row r="830" spans="3:4" ht="15" customHeight="1" x14ac:dyDescent="0.2">
      <c r="C830" s="100"/>
      <c r="D830" s="100"/>
    </row>
    <row r="831" spans="3:4" ht="15" customHeight="1" x14ac:dyDescent="0.2">
      <c r="C831" s="100"/>
      <c r="D831" s="100"/>
    </row>
    <row r="832" spans="3:4" ht="15" customHeight="1" x14ac:dyDescent="0.2">
      <c r="C832" s="100"/>
      <c r="D832" s="100"/>
    </row>
    <row r="833" spans="3:4" ht="15" customHeight="1" x14ac:dyDescent="0.2">
      <c r="C833" s="100"/>
      <c r="D833" s="100"/>
    </row>
    <row r="834" spans="3:4" ht="15" customHeight="1" x14ac:dyDescent="0.2">
      <c r="C834" s="100"/>
      <c r="D834" s="100"/>
    </row>
    <row r="835" spans="3:4" ht="15" customHeight="1" x14ac:dyDescent="0.2">
      <c r="C835" s="100"/>
      <c r="D835" s="100"/>
    </row>
    <row r="836" spans="3:4" ht="15" customHeight="1" x14ac:dyDescent="0.2">
      <c r="C836" s="100"/>
      <c r="D836" s="100"/>
    </row>
    <row r="837" spans="3:4" ht="15" customHeight="1" x14ac:dyDescent="0.2">
      <c r="C837" s="100"/>
      <c r="D837" s="100"/>
    </row>
    <row r="838" spans="3:4" ht="15" customHeight="1" x14ac:dyDescent="0.2">
      <c r="C838" s="100"/>
      <c r="D838" s="100"/>
    </row>
    <row r="839" spans="3:4" ht="15" customHeight="1" x14ac:dyDescent="0.2">
      <c r="C839" s="100"/>
      <c r="D839" s="100"/>
    </row>
    <row r="840" spans="3:4" ht="15" customHeight="1" x14ac:dyDescent="0.2">
      <c r="C840" s="100"/>
      <c r="D840" s="100"/>
    </row>
    <row r="841" spans="3:4" ht="15" customHeight="1" x14ac:dyDescent="0.2">
      <c r="C841" s="100"/>
      <c r="D841" s="100"/>
    </row>
    <row r="842" spans="3:4" ht="15" customHeight="1" x14ac:dyDescent="0.2">
      <c r="C842" s="100"/>
      <c r="D842" s="100"/>
    </row>
    <row r="843" spans="3:4" ht="15" customHeight="1" x14ac:dyDescent="0.2">
      <c r="C843" s="100"/>
      <c r="D843" s="100"/>
    </row>
    <row r="844" spans="3:4" ht="15" customHeight="1" x14ac:dyDescent="0.2">
      <c r="C844" s="100"/>
      <c r="D844" s="100"/>
    </row>
    <row r="845" spans="3:4" ht="15" customHeight="1" x14ac:dyDescent="0.2">
      <c r="C845" s="100"/>
      <c r="D845" s="100"/>
    </row>
    <row r="846" spans="3:4" ht="15" customHeight="1" x14ac:dyDescent="0.2">
      <c r="C846" s="100"/>
      <c r="D846" s="100"/>
    </row>
    <row r="847" spans="3:4" ht="15" customHeight="1" x14ac:dyDescent="0.2">
      <c r="C847" s="100"/>
      <c r="D847" s="100"/>
    </row>
    <row r="848" spans="3:4" ht="15" customHeight="1" x14ac:dyDescent="0.2">
      <c r="C848" s="100"/>
      <c r="D848" s="100"/>
    </row>
    <row r="849" spans="3:4" ht="15" customHeight="1" x14ac:dyDescent="0.2">
      <c r="C849" s="100"/>
      <c r="D849" s="100"/>
    </row>
    <row r="850" spans="3:4" ht="15" customHeight="1" x14ac:dyDescent="0.2">
      <c r="C850" s="100"/>
      <c r="D850" s="100"/>
    </row>
    <row r="851" spans="3:4" ht="15" customHeight="1" x14ac:dyDescent="0.2">
      <c r="C851" s="100"/>
      <c r="D851" s="100"/>
    </row>
    <row r="852" spans="3:4" ht="15" customHeight="1" x14ac:dyDescent="0.2">
      <c r="C852" s="100"/>
      <c r="D852" s="100"/>
    </row>
    <row r="853" spans="3:4" ht="15" customHeight="1" x14ac:dyDescent="0.2">
      <c r="C853" s="100"/>
      <c r="D853" s="100"/>
    </row>
    <row r="854" spans="3:4" ht="15" customHeight="1" x14ac:dyDescent="0.2">
      <c r="C854" s="100"/>
      <c r="D854" s="100"/>
    </row>
    <row r="855" spans="3:4" ht="15" customHeight="1" x14ac:dyDescent="0.2">
      <c r="C855" s="100"/>
      <c r="D855" s="100"/>
    </row>
    <row r="856" spans="3:4" ht="15" customHeight="1" x14ac:dyDescent="0.2">
      <c r="C856" s="100"/>
      <c r="D856" s="100"/>
    </row>
    <row r="857" spans="3:4" ht="15" customHeight="1" x14ac:dyDescent="0.2">
      <c r="C857" s="100"/>
      <c r="D857" s="100"/>
    </row>
    <row r="858" spans="3:4" ht="15" customHeight="1" x14ac:dyDescent="0.2">
      <c r="C858" s="100"/>
      <c r="D858" s="100"/>
    </row>
    <row r="859" spans="3:4" ht="15" customHeight="1" x14ac:dyDescent="0.2">
      <c r="C859" s="100"/>
      <c r="D859" s="100"/>
    </row>
    <row r="860" spans="3:4" ht="15" customHeight="1" x14ac:dyDescent="0.2">
      <c r="C860" s="100"/>
      <c r="D860" s="100"/>
    </row>
    <row r="861" spans="3:4" ht="15" customHeight="1" x14ac:dyDescent="0.2">
      <c r="C861" s="100"/>
      <c r="D861" s="100"/>
    </row>
    <row r="862" spans="3:4" ht="15" customHeight="1" x14ac:dyDescent="0.2">
      <c r="C862" s="100"/>
      <c r="D862" s="100"/>
    </row>
    <row r="863" spans="3:4" ht="15" customHeight="1" x14ac:dyDescent="0.2">
      <c r="C863" s="100"/>
      <c r="D863" s="100"/>
    </row>
    <row r="864" spans="3:4" ht="15" customHeight="1" x14ac:dyDescent="0.2">
      <c r="C864" s="100"/>
      <c r="D864" s="100"/>
    </row>
    <row r="865" spans="3:4" ht="15" customHeight="1" x14ac:dyDescent="0.2">
      <c r="C865" s="100"/>
      <c r="D865" s="100"/>
    </row>
    <row r="866" spans="3:4" ht="15" customHeight="1" x14ac:dyDescent="0.2">
      <c r="C866" s="100"/>
      <c r="D866" s="100"/>
    </row>
    <row r="867" spans="3:4" ht="15" customHeight="1" x14ac:dyDescent="0.2">
      <c r="C867" s="100"/>
      <c r="D867" s="100"/>
    </row>
    <row r="868" spans="3:4" ht="15" customHeight="1" x14ac:dyDescent="0.2">
      <c r="C868" s="100"/>
      <c r="D868" s="100"/>
    </row>
    <row r="869" spans="3:4" ht="15" customHeight="1" x14ac:dyDescent="0.2">
      <c r="C869" s="100"/>
      <c r="D869" s="100"/>
    </row>
    <row r="870" spans="3:4" ht="15" customHeight="1" x14ac:dyDescent="0.2">
      <c r="C870" s="100"/>
      <c r="D870" s="100"/>
    </row>
    <row r="871" spans="3:4" ht="15" customHeight="1" x14ac:dyDescent="0.2">
      <c r="C871" s="100"/>
      <c r="D871" s="100"/>
    </row>
    <row r="872" spans="3:4" ht="15" customHeight="1" x14ac:dyDescent="0.2">
      <c r="C872" s="100"/>
      <c r="D872" s="100"/>
    </row>
    <row r="873" spans="3:4" ht="15" customHeight="1" x14ac:dyDescent="0.2">
      <c r="C873" s="100"/>
      <c r="D873" s="100"/>
    </row>
    <row r="874" spans="3:4" ht="15" customHeight="1" x14ac:dyDescent="0.2">
      <c r="C874" s="100"/>
      <c r="D874" s="100"/>
    </row>
    <row r="875" spans="3:4" ht="15" customHeight="1" x14ac:dyDescent="0.2">
      <c r="C875" s="100"/>
      <c r="D875" s="100"/>
    </row>
    <row r="876" spans="3:4" ht="15" customHeight="1" x14ac:dyDescent="0.2">
      <c r="C876" s="100"/>
      <c r="D876" s="100"/>
    </row>
    <row r="877" spans="3:4" ht="15" customHeight="1" x14ac:dyDescent="0.2">
      <c r="C877" s="100"/>
      <c r="D877" s="100"/>
    </row>
    <row r="878" spans="3:4" ht="15" customHeight="1" x14ac:dyDescent="0.2">
      <c r="C878" s="100"/>
      <c r="D878" s="100"/>
    </row>
    <row r="879" spans="3:4" ht="15" customHeight="1" x14ac:dyDescent="0.2">
      <c r="C879" s="100"/>
      <c r="D879" s="100"/>
    </row>
    <row r="880" spans="3:4" ht="15" customHeight="1" x14ac:dyDescent="0.2">
      <c r="C880" s="100"/>
      <c r="D880" s="100"/>
    </row>
    <row r="881" spans="3:4" ht="15" customHeight="1" x14ac:dyDescent="0.2">
      <c r="C881" s="100"/>
      <c r="D881" s="100"/>
    </row>
    <row r="882" spans="3:4" ht="15" customHeight="1" x14ac:dyDescent="0.2">
      <c r="C882" s="100"/>
      <c r="D882" s="100"/>
    </row>
    <row r="883" spans="3:4" ht="15" customHeight="1" x14ac:dyDescent="0.2">
      <c r="C883" s="100"/>
      <c r="D883" s="100"/>
    </row>
    <row r="884" spans="3:4" ht="15" customHeight="1" x14ac:dyDescent="0.2">
      <c r="C884" s="100"/>
      <c r="D884" s="100"/>
    </row>
    <row r="885" spans="3:4" ht="15" customHeight="1" x14ac:dyDescent="0.2">
      <c r="C885" s="100"/>
      <c r="D885" s="100"/>
    </row>
    <row r="886" spans="3:4" ht="15" customHeight="1" x14ac:dyDescent="0.2">
      <c r="C886" s="100"/>
      <c r="D886" s="100"/>
    </row>
    <row r="887" spans="3:4" ht="15" customHeight="1" x14ac:dyDescent="0.2">
      <c r="C887" s="100"/>
      <c r="D887" s="100"/>
    </row>
    <row r="888" spans="3:4" ht="15" customHeight="1" x14ac:dyDescent="0.2">
      <c r="C888" s="100"/>
      <c r="D888" s="100"/>
    </row>
    <row r="889" spans="3:4" ht="15" customHeight="1" x14ac:dyDescent="0.2">
      <c r="C889" s="100"/>
      <c r="D889" s="100"/>
    </row>
    <row r="890" spans="3:4" ht="15" customHeight="1" x14ac:dyDescent="0.2">
      <c r="C890" s="100"/>
      <c r="D890" s="100"/>
    </row>
    <row r="891" spans="3:4" ht="15" customHeight="1" x14ac:dyDescent="0.2">
      <c r="C891" s="100"/>
      <c r="D891" s="100"/>
    </row>
    <row r="892" spans="3:4" ht="15" customHeight="1" x14ac:dyDescent="0.2">
      <c r="C892" s="100"/>
      <c r="D892" s="100"/>
    </row>
    <row r="893" spans="3:4" ht="15" customHeight="1" x14ac:dyDescent="0.2">
      <c r="C893" s="100"/>
      <c r="D893" s="100"/>
    </row>
    <row r="894" spans="3:4" ht="15" customHeight="1" x14ac:dyDescent="0.2">
      <c r="C894" s="100"/>
      <c r="D894" s="100"/>
    </row>
    <row r="895" spans="3:4" ht="15" customHeight="1" x14ac:dyDescent="0.2">
      <c r="C895" s="100"/>
      <c r="D895" s="100"/>
    </row>
    <row r="896" spans="3:4" ht="15" customHeight="1" x14ac:dyDescent="0.2">
      <c r="C896" s="100"/>
      <c r="D896" s="100"/>
    </row>
    <row r="897" spans="3:4" ht="15" customHeight="1" x14ac:dyDescent="0.2">
      <c r="C897" s="100"/>
      <c r="D897" s="100"/>
    </row>
    <row r="898" spans="3:4" ht="15" customHeight="1" x14ac:dyDescent="0.2">
      <c r="C898" s="100"/>
      <c r="D898" s="100"/>
    </row>
    <row r="899" spans="3:4" ht="15" customHeight="1" x14ac:dyDescent="0.2">
      <c r="C899" s="100"/>
      <c r="D899" s="100"/>
    </row>
    <row r="900" spans="3:4" ht="15" customHeight="1" x14ac:dyDescent="0.2">
      <c r="C900" s="100"/>
      <c r="D900" s="100"/>
    </row>
    <row r="901" spans="3:4" ht="15" customHeight="1" x14ac:dyDescent="0.2">
      <c r="C901" s="100"/>
      <c r="D901" s="100"/>
    </row>
    <row r="902" spans="3:4" ht="15" customHeight="1" x14ac:dyDescent="0.2">
      <c r="C902" s="100"/>
      <c r="D902" s="100"/>
    </row>
    <row r="903" spans="3:4" ht="15" customHeight="1" x14ac:dyDescent="0.2">
      <c r="C903" s="100"/>
      <c r="D903" s="100"/>
    </row>
    <row r="904" spans="3:4" ht="15" customHeight="1" x14ac:dyDescent="0.2">
      <c r="C904" s="100"/>
      <c r="D904" s="100"/>
    </row>
    <row r="905" spans="3:4" ht="15" customHeight="1" x14ac:dyDescent="0.2">
      <c r="C905" s="100"/>
      <c r="D905" s="100"/>
    </row>
    <row r="906" spans="3:4" ht="15" customHeight="1" x14ac:dyDescent="0.2">
      <c r="C906" s="100"/>
      <c r="D906" s="100"/>
    </row>
    <row r="907" spans="3:4" ht="15" customHeight="1" x14ac:dyDescent="0.2">
      <c r="C907" s="100"/>
      <c r="D907" s="100"/>
    </row>
    <row r="908" spans="3:4" ht="15" customHeight="1" x14ac:dyDescent="0.2">
      <c r="C908" s="100"/>
      <c r="D908" s="100"/>
    </row>
    <row r="909" spans="3:4" ht="15" customHeight="1" x14ac:dyDescent="0.2">
      <c r="C909" s="100"/>
      <c r="D909" s="100"/>
    </row>
    <row r="910" spans="3:4" ht="15" customHeight="1" x14ac:dyDescent="0.2">
      <c r="C910" s="100"/>
      <c r="D910" s="100"/>
    </row>
    <row r="911" spans="3:4" ht="15" customHeight="1" x14ac:dyDescent="0.2">
      <c r="C911" s="100"/>
      <c r="D911" s="100"/>
    </row>
    <row r="912" spans="3:4" ht="15" customHeight="1" x14ac:dyDescent="0.2">
      <c r="C912" s="100"/>
      <c r="D912" s="100"/>
    </row>
    <row r="913" spans="3:4" ht="15" customHeight="1" x14ac:dyDescent="0.2">
      <c r="C913" s="100"/>
      <c r="D913" s="100"/>
    </row>
    <row r="914" spans="3:4" ht="15" customHeight="1" x14ac:dyDescent="0.2">
      <c r="C914" s="100"/>
      <c r="D914" s="100"/>
    </row>
    <row r="915" spans="3:4" ht="15" customHeight="1" x14ac:dyDescent="0.2">
      <c r="C915" s="100"/>
      <c r="D915" s="100"/>
    </row>
    <row r="916" spans="3:4" ht="15" customHeight="1" x14ac:dyDescent="0.2">
      <c r="C916" s="100"/>
      <c r="D916" s="100"/>
    </row>
    <row r="917" spans="3:4" ht="15" customHeight="1" x14ac:dyDescent="0.2">
      <c r="C917" s="100"/>
      <c r="D917" s="100"/>
    </row>
    <row r="918" spans="3:4" ht="15" customHeight="1" x14ac:dyDescent="0.2">
      <c r="C918" s="100"/>
      <c r="D918" s="100"/>
    </row>
    <row r="919" spans="3:4" ht="15" customHeight="1" x14ac:dyDescent="0.2">
      <c r="C919" s="100"/>
      <c r="D919" s="100"/>
    </row>
    <row r="920" spans="3:4" ht="15" customHeight="1" x14ac:dyDescent="0.2">
      <c r="C920" s="100"/>
      <c r="D920" s="100"/>
    </row>
    <row r="921" spans="3:4" ht="15" customHeight="1" x14ac:dyDescent="0.2">
      <c r="C921" s="100"/>
      <c r="D921" s="100"/>
    </row>
    <row r="922" spans="3:4" ht="15" customHeight="1" x14ac:dyDescent="0.2">
      <c r="C922" s="100"/>
      <c r="D922" s="100"/>
    </row>
    <row r="923" spans="3:4" ht="15" customHeight="1" x14ac:dyDescent="0.2">
      <c r="C923" s="100"/>
      <c r="D923" s="100"/>
    </row>
    <row r="924" spans="3:4" ht="15" customHeight="1" x14ac:dyDescent="0.2">
      <c r="C924" s="100"/>
      <c r="D924" s="100"/>
    </row>
    <row r="925" spans="3:4" ht="15" customHeight="1" x14ac:dyDescent="0.2">
      <c r="C925" s="100"/>
      <c r="D925" s="100"/>
    </row>
    <row r="926" spans="3:4" ht="15" customHeight="1" x14ac:dyDescent="0.2">
      <c r="C926" s="100"/>
      <c r="D926" s="100"/>
    </row>
    <row r="927" spans="3:4" ht="15" customHeight="1" x14ac:dyDescent="0.2">
      <c r="C927" s="100"/>
      <c r="D927" s="100"/>
    </row>
    <row r="928" spans="3:4" ht="15" customHeight="1" x14ac:dyDescent="0.2">
      <c r="C928" s="100"/>
      <c r="D928" s="100"/>
    </row>
    <row r="929" spans="3:4" ht="15" customHeight="1" x14ac:dyDescent="0.2">
      <c r="C929" s="100"/>
      <c r="D929" s="100"/>
    </row>
    <row r="930" spans="3:4" ht="15" customHeight="1" x14ac:dyDescent="0.2">
      <c r="C930" s="100"/>
      <c r="D930" s="100"/>
    </row>
    <row r="931" spans="3:4" ht="15" customHeight="1" x14ac:dyDescent="0.2">
      <c r="C931" s="100"/>
      <c r="D931" s="100"/>
    </row>
    <row r="932" spans="3:4" ht="15" customHeight="1" x14ac:dyDescent="0.2">
      <c r="C932" s="100"/>
      <c r="D932" s="100"/>
    </row>
    <row r="933" spans="3:4" ht="15" customHeight="1" x14ac:dyDescent="0.2">
      <c r="C933" s="100"/>
      <c r="D933" s="100"/>
    </row>
    <row r="934" spans="3:4" ht="15" customHeight="1" x14ac:dyDescent="0.2">
      <c r="C934" s="100"/>
      <c r="D934" s="100"/>
    </row>
    <row r="935" spans="3:4" ht="15" customHeight="1" x14ac:dyDescent="0.2">
      <c r="C935" s="100"/>
      <c r="D935" s="100"/>
    </row>
    <row r="936" spans="3:4" ht="15" customHeight="1" x14ac:dyDescent="0.2">
      <c r="C936" s="100"/>
      <c r="D936" s="100"/>
    </row>
    <row r="937" spans="3:4" ht="15" customHeight="1" x14ac:dyDescent="0.2">
      <c r="C937" s="100"/>
      <c r="D937" s="100"/>
    </row>
    <row r="938" spans="3:4" ht="15" customHeight="1" x14ac:dyDescent="0.2">
      <c r="C938" s="100"/>
      <c r="D938" s="100"/>
    </row>
    <row r="939" spans="3:4" ht="15" customHeight="1" x14ac:dyDescent="0.2">
      <c r="C939" s="100"/>
      <c r="D939" s="100"/>
    </row>
    <row r="940" spans="3:4" ht="15" customHeight="1" x14ac:dyDescent="0.2">
      <c r="C940" s="100"/>
      <c r="D940" s="100"/>
    </row>
    <row r="941" spans="3:4" ht="15" customHeight="1" x14ac:dyDescent="0.2">
      <c r="C941" s="100"/>
      <c r="D941" s="100"/>
    </row>
    <row r="942" spans="3:4" ht="15" customHeight="1" x14ac:dyDescent="0.2">
      <c r="C942" s="100"/>
      <c r="D942" s="100"/>
    </row>
    <row r="943" spans="3:4" ht="15" customHeight="1" x14ac:dyDescent="0.2">
      <c r="C943" s="100"/>
      <c r="D943" s="100"/>
    </row>
    <row r="944" spans="3:4" ht="15" customHeight="1" x14ac:dyDescent="0.2">
      <c r="C944" s="100"/>
      <c r="D944" s="100"/>
    </row>
    <row r="945" spans="3:4" ht="15" customHeight="1" x14ac:dyDescent="0.2">
      <c r="C945" s="100"/>
      <c r="D945" s="100"/>
    </row>
    <row r="946" spans="3:4" ht="15" customHeight="1" x14ac:dyDescent="0.2">
      <c r="C946" s="100"/>
      <c r="D946" s="100"/>
    </row>
    <row r="947" spans="3:4" ht="15" customHeight="1" x14ac:dyDescent="0.2">
      <c r="C947" s="100"/>
      <c r="D947" s="100"/>
    </row>
    <row r="948" spans="3:4" ht="15" customHeight="1" x14ac:dyDescent="0.2">
      <c r="C948" s="100"/>
      <c r="D948" s="100"/>
    </row>
    <row r="949" spans="3:4" ht="15" customHeight="1" x14ac:dyDescent="0.2">
      <c r="C949" s="100"/>
      <c r="D949" s="100"/>
    </row>
    <row r="950" spans="3:4" ht="15" customHeight="1" x14ac:dyDescent="0.2">
      <c r="C950" s="100"/>
      <c r="D950" s="100"/>
    </row>
    <row r="951" spans="3:4" ht="15" customHeight="1" x14ac:dyDescent="0.2">
      <c r="C951" s="100"/>
      <c r="D951" s="100"/>
    </row>
    <row r="952" spans="3:4" ht="15" customHeight="1" x14ac:dyDescent="0.2">
      <c r="C952" s="100"/>
      <c r="D952" s="100"/>
    </row>
    <row r="953" spans="3:4" ht="15" customHeight="1" x14ac:dyDescent="0.2">
      <c r="C953" s="100"/>
      <c r="D953" s="100"/>
    </row>
    <row r="954" spans="3:4" ht="15" customHeight="1" x14ac:dyDescent="0.2">
      <c r="C954" s="100"/>
      <c r="D954" s="100"/>
    </row>
    <row r="955" spans="3:4" ht="15" customHeight="1" x14ac:dyDescent="0.2">
      <c r="C955" s="100"/>
      <c r="D955" s="100"/>
    </row>
    <row r="956" spans="3:4" ht="15" customHeight="1" x14ac:dyDescent="0.2">
      <c r="C956" s="100"/>
      <c r="D956" s="100"/>
    </row>
    <row r="957" spans="3:4" ht="15" customHeight="1" x14ac:dyDescent="0.2">
      <c r="C957" s="100"/>
      <c r="D957" s="100"/>
    </row>
    <row r="958" spans="3:4" ht="15" customHeight="1" x14ac:dyDescent="0.2">
      <c r="C958" s="100"/>
      <c r="D958" s="100"/>
    </row>
    <row r="959" spans="3:4" ht="15" customHeight="1" x14ac:dyDescent="0.2">
      <c r="C959" s="100"/>
      <c r="D959" s="100"/>
    </row>
    <row r="960" spans="3:4" ht="15" customHeight="1" x14ac:dyDescent="0.2">
      <c r="C960" s="100"/>
      <c r="D960" s="100"/>
    </row>
    <row r="961" spans="3:4" ht="15" customHeight="1" x14ac:dyDescent="0.2">
      <c r="C961" s="100"/>
      <c r="D961" s="100"/>
    </row>
    <row r="962" spans="3:4" ht="15" customHeight="1" x14ac:dyDescent="0.2">
      <c r="C962" s="100"/>
      <c r="D962" s="100"/>
    </row>
    <row r="963" spans="3:4" ht="15" customHeight="1" x14ac:dyDescent="0.2">
      <c r="C963" s="100"/>
      <c r="D963" s="100"/>
    </row>
    <row r="964" spans="3:4" ht="15" customHeight="1" x14ac:dyDescent="0.2">
      <c r="C964" s="100"/>
      <c r="D964" s="100"/>
    </row>
    <row r="965" spans="3:4" ht="15" customHeight="1" x14ac:dyDescent="0.2">
      <c r="C965" s="100"/>
      <c r="D965" s="100"/>
    </row>
    <row r="966" spans="3:4" ht="15" customHeight="1" x14ac:dyDescent="0.2">
      <c r="C966" s="100"/>
      <c r="D966" s="100"/>
    </row>
    <row r="967" spans="3:4" ht="15" customHeight="1" x14ac:dyDescent="0.2">
      <c r="C967" s="100"/>
      <c r="D967" s="100"/>
    </row>
    <row r="968" spans="3:4" ht="15" customHeight="1" x14ac:dyDescent="0.2">
      <c r="C968" s="100"/>
      <c r="D968" s="100"/>
    </row>
    <row r="969" spans="3:4" ht="15" customHeight="1" x14ac:dyDescent="0.2">
      <c r="C969" s="100"/>
      <c r="D969" s="100"/>
    </row>
    <row r="970" spans="3:4" ht="15" customHeight="1" x14ac:dyDescent="0.2">
      <c r="C970" s="100"/>
      <c r="D970" s="100"/>
    </row>
    <row r="971" spans="3:4" ht="15" customHeight="1" x14ac:dyDescent="0.2">
      <c r="C971" s="100"/>
      <c r="D971" s="100"/>
    </row>
    <row r="972" spans="3:4" ht="15" customHeight="1" x14ac:dyDescent="0.2">
      <c r="C972" s="100"/>
      <c r="D972" s="100"/>
    </row>
    <row r="973" spans="3:4" ht="15" customHeight="1" x14ac:dyDescent="0.2">
      <c r="C973" s="100"/>
      <c r="D973" s="100"/>
    </row>
    <row r="974" spans="3:4" ht="15" customHeight="1" x14ac:dyDescent="0.2">
      <c r="C974" s="100"/>
      <c r="D974" s="100"/>
    </row>
    <row r="975" spans="3:4" ht="15" customHeight="1" x14ac:dyDescent="0.2">
      <c r="C975" s="100"/>
      <c r="D975" s="100"/>
    </row>
    <row r="976" spans="3:4" ht="15" customHeight="1" x14ac:dyDescent="0.2">
      <c r="C976" s="100"/>
      <c r="D976" s="100"/>
    </row>
    <row r="977" spans="3:4" ht="15" customHeight="1" x14ac:dyDescent="0.2">
      <c r="C977" s="100"/>
      <c r="D977" s="100"/>
    </row>
    <row r="978" spans="3:4" ht="15" customHeight="1" x14ac:dyDescent="0.2">
      <c r="C978" s="100"/>
      <c r="D978" s="100"/>
    </row>
    <row r="979" spans="3:4" ht="15" customHeight="1" x14ac:dyDescent="0.2">
      <c r="C979" s="100"/>
      <c r="D979" s="100"/>
    </row>
    <row r="980" spans="3:4" ht="15" customHeight="1" x14ac:dyDescent="0.2">
      <c r="C980" s="100"/>
      <c r="D980" s="100"/>
    </row>
    <row r="981" spans="3:4" ht="15" customHeight="1" x14ac:dyDescent="0.2">
      <c r="C981" s="100"/>
      <c r="D981" s="100"/>
    </row>
    <row r="982" spans="3:4" ht="15" customHeight="1" x14ac:dyDescent="0.2">
      <c r="C982" s="100"/>
      <c r="D982" s="100"/>
    </row>
    <row r="983" spans="3:4" ht="15" customHeight="1" x14ac:dyDescent="0.2">
      <c r="C983" s="100"/>
      <c r="D983" s="100"/>
    </row>
    <row r="984" spans="3:4" ht="15" customHeight="1" x14ac:dyDescent="0.2">
      <c r="C984" s="100"/>
      <c r="D984" s="100"/>
    </row>
    <row r="985" spans="3:4" ht="15" customHeight="1" x14ac:dyDescent="0.2">
      <c r="C985" s="100"/>
      <c r="D985" s="100"/>
    </row>
    <row r="986" spans="3:4" ht="15" customHeight="1" x14ac:dyDescent="0.2">
      <c r="C986" s="100"/>
      <c r="D986" s="100"/>
    </row>
    <row r="987" spans="3:4" ht="15" customHeight="1" x14ac:dyDescent="0.2">
      <c r="C987" s="100"/>
      <c r="D987" s="100"/>
    </row>
    <row r="988" spans="3:4" ht="15" customHeight="1" x14ac:dyDescent="0.2">
      <c r="C988" s="100"/>
      <c r="D988" s="100"/>
    </row>
    <row r="989" spans="3:4" ht="15" customHeight="1" x14ac:dyDescent="0.2">
      <c r="C989" s="100"/>
      <c r="D989" s="100"/>
    </row>
    <row r="990" spans="3:4" ht="15" customHeight="1" x14ac:dyDescent="0.2">
      <c r="C990" s="100"/>
      <c r="D990" s="100"/>
    </row>
    <row r="991" spans="3:4" ht="15" customHeight="1" x14ac:dyDescent="0.2">
      <c r="C991" s="100"/>
      <c r="D991" s="100"/>
    </row>
    <row r="992" spans="3:4" ht="15" customHeight="1" x14ac:dyDescent="0.2">
      <c r="C992" s="100"/>
      <c r="D992" s="100"/>
    </row>
    <row r="993" spans="3:4" ht="15" customHeight="1" x14ac:dyDescent="0.2">
      <c r="C993" s="100"/>
      <c r="D993" s="100"/>
    </row>
    <row r="994" spans="3:4" ht="15" customHeight="1" x14ac:dyDescent="0.2">
      <c r="C994" s="100"/>
      <c r="D994" s="100"/>
    </row>
    <row r="995" spans="3:4" ht="15" customHeight="1" x14ac:dyDescent="0.2">
      <c r="C995" s="100"/>
      <c r="D995" s="100"/>
    </row>
    <row r="996" spans="3:4" ht="15" customHeight="1" x14ac:dyDescent="0.2">
      <c r="C996" s="100"/>
      <c r="D996" s="100"/>
    </row>
    <row r="997" spans="3:4" ht="15" customHeight="1" x14ac:dyDescent="0.2">
      <c r="C997" s="100"/>
      <c r="D997" s="100"/>
    </row>
    <row r="998" spans="3:4" ht="15" customHeight="1" x14ac:dyDescent="0.2">
      <c r="C998" s="100"/>
      <c r="D998" s="100"/>
    </row>
    <row r="999" spans="3:4" ht="15" customHeight="1" x14ac:dyDescent="0.2">
      <c r="C999" s="100"/>
      <c r="D999" s="100"/>
    </row>
    <row r="1000" spans="3:4" ht="15" customHeight="1" x14ac:dyDescent="0.2">
      <c r="C1000" s="100"/>
      <c r="D1000" s="100"/>
    </row>
    <row r="1001" spans="3:4" ht="15" customHeight="1" x14ac:dyDescent="0.2">
      <c r="C1001" s="100"/>
      <c r="D1001" s="100"/>
    </row>
    <row r="1002" spans="3:4" ht="15" customHeight="1" x14ac:dyDescent="0.2">
      <c r="C1002" s="100"/>
      <c r="D1002" s="100"/>
    </row>
    <row r="1003" spans="3:4" ht="15" customHeight="1" x14ac:dyDescent="0.2">
      <c r="C1003" s="100"/>
      <c r="D1003" s="100"/>
    </row>
    <row r="1004" spans="3:4" ht="15" customHeight="1" x14ac:dyDescent="0.2">
      <c r="C1004" s="100"/>
      <c r="D1004" s="100"/>
    </row>
    <row r="1005" spans="3:4" ht="15" customHeight="1" x14ac:dyDescent="0.2">
      <c r="C1005" s="100"/>
      <c r="D1005" s="100"/>
    </row>
    <row r="1006" spans="3:4" ht="15" customHeight="1" x14ac:dyDescent="0.2">
      <c r="C1006" s="100"/>
      <c r="D1006" s="100"/>
    </row>
    <row r="1007" spans="3:4" ht="15" customHeight="1" x14ac:dyDescent="0.2">
      <c r="C1007" s="100"/>
      <c r="D1007" s="100"/>
    </row>
    <row r="1008" spans="3:4" ht="15" customHeight="1" x14ac:dyDescent="0.2">
      <c r="C1008" s="100"/>
      <c r="D1008" s="100"/>
    </row>
    <row r="1009" spans="3:4" ht="15" customHeight="1" x14ac:dyDescent="0.2">
      <c r="C1009" s="100"/>
      <c r="D1009" s="100"/>
    </row>
    <row r="1010" spans="3:4" ht="15" customHeight="1" x14ac:dyDescent="0.2">
      <c r="C1010" s="100"/>
      <c r="D1010" s="100"/>
    </row>
    <row r="1011" spans="3:4" ht="15" customHeight="1" x14ac:dyDescent="0.2">
      <c r="C1011" s="100"/>
      <c r="D1011" s="100"/>
    </row>
    <row r="1012" spans="3:4" ht="15" customHeight="1" x14ac:dyDescent="0.2">
      <c r="C1012" s="100"/>
      <c r="D1012" s="100"/>
    </row>
    <row r="1013" spans="3:4" ht="15" customHeight="1" x14ac:dyDescent="0.2">
      <c r="C1013" s="100"/>
      <c r="D1013" s="100"/>
    </row>
    <row r="1014" spans="3:4" ht="15" customHeight="1" x14ac:dyDescent="0.2">
      <c r="C1014" s="100"/>
      <c r="D1014" s="100"/>
    </row>
    <row r="1015" spans="3:4" ht="15" customHeight="1" x14ac:dyDescent="0.2">
      <c r="C1015" s="100"/>
      <c r="D1015" s="100"/>
    </row>
    <row r="1016" spans="3:4" ht="15" customHeight="1" x14ac:dyDescent="0.2">
      <c r="C1016" s="100"/>
      <c r="D1016" s="100"/>
    </row>
    <row r="1017" spans="3:4" ht="15" customHeight="1" x14ac:dyDescent="0.2">
      <c r="C1017" s="100"/>
      <c r="D1017" s="100"/>
    </row>
    <row r="1018" spans="3:4" ht="15" customHeight="1" x14ac:dyDescent="0.2">
      <c r="C1018" s="100"/>
      <c r="D1018" s="100"/>
    </row>
    <row r="1019" spans="3:4" ht="15" customHeight="1" x14ac:dyDescent="0.2">
      <c r="C1019" s="100"/>
      <c r="D1019" s="100"/>
    </row>
    <row r="1020" spans="3:4" ht="15" customHeight="1" x14ac:dyDescent="0.2">
      <c r="C1020" s="100"/>
      <c r="D1020" s="100"/>
    </row>
    <row r="1021" spans="3:4" ht="15" customHeight="1" x14ac:dyDescent="0.2">
      <c r="C1021" s="100"/>
      <c r="D1021" s="100"/>
    </row>
    <row r="1022" spans="3:4" ht="15" customHeight="1" x14ac:dyDescent="0.2">
      <c r="C1022" s="100"/>
      <c r="D1022" s="100"/>
    </row>
    <row r="1023" spans="3:4" ht="15" customHeight="1" x14ac:dyDescent="0.2">
      <c r="C1023" s="100"/>
      <c r="D1023" s="100"/>
    </row>
    <row r="1024" spans="3:4" ht="15" customHeight="1" x14ac:dyDescent="0.2">
      <c r="C1024" s="100"/>
      <c r="D1024" s="100"/>
    </row>
    <row r="1025" spans="3:4" ht="15" customHeight="1" x14ac:dyDescent="0.2">
      <c r="C1025" s="100"/>
      <c r="D1025" s="100"/>
    </row>
    <row r="1026" spans="3:4" ht="15" customHeight="1" x14ac:dyDescent="0.2">
      <c r="C1026" s="100"/>
      <c r="D1026" s="100"/>
    </row>
    <row r="1027" spans="3:4" ht="15" customHeight="1" x14ac:dyDescent="0.2">
      <c r="C1027" s="100"/>
      <c r="D1027" s="100"/>
    </row>
    <row r="1028" spans="3:4" ht="15" customHeight="1" x14ac:dyDescent="0.2">
      <c r="C1028" s="100"/>
      <c r="D1028" s="100"/>
    </row>
    <row r="1029" spans="3:4" ht="15" customHeight="1" x14ac:dyDescent="0.2">
      <c r="C1029" s="100"/>
      <c r="D1029" s="100"/>
    </row>
    <row r="1030" spans="3:4" ht="15" customHeight="1" x14ac:dyDescent="0.2">
      <c r="C1030" s="100"/>
      <c r="D1030" s="100"/>
    </row>
    <row r="1031" spans="3:4" ht="15" customHeight="1" x14ac:dyDescent="0.2">
      <c r="C1031" s="100"/>
      <c r="D1031" s="100"/>
    </row>
    <row r="1032" spans="3:4" ht="15" customHeight="1" x14ac:dyDescent="0.2">
      <c r="C1032" s="100"/>
      <c r="D1032" s="100"/>
    </row>
    <row r="1033" spans="3:4" ht="15" customHeight="1" x14ac:dyDescent="0.2">
      <c r="C1033" s="100"/>
      <c r="D1033" s="100"/>
    </row>
    <row r="1034" spans="3:4" ht="15" customHeight="1" x14ac:dyDescent="0.2">
      <c r="C1034" s="100"/>
      <c r="D1034" s="100"/>
    </row>
    <row r="1035" spans="3:4" ht="15" customHeight="1" x14ac:dyDescent="0.2">
      <c r="C1035" s="100"/>
      <c r="D1035" s="100"/>
    </row>
    <row r="1036" spans="3:4" ht="15" customHeight="1" x14ac:dyDescent="0.2">
      <c r="C1036" s="100"/>
      <c r="D1036" s="100"/>
    </row>
    <row r="1037" spans="3:4" ht="15" customHeight="1" x14ac:dyDescent="0.2">
      <c r="C1037" s="100"/>
      <c r="D1037" s="100"/>
    </row>
    <row r="1038" spans="3:4" ht="15" customHeight="1" x14ac:dyDescent="0.2">
      <c r="C1038" s="100"/>
      <c r="D1038" s="100"/>
    </row>
    <row r="1039" spans="3:4" ht="15" customHeight="1" x14ac:dyDescent="0.2">
      <c r="C1039" s="100"/>
      <c r="D1039" s="100"/>
    </row>
    <row r="1040" spans="3:4" ht="15" customHeight="1" x14ac:dyDescent="0.2">
      <c r="C1040" s="100"/>
      <c r="D1040" s="100"/>
    </row>
    <row r="1041" spans="3:4" ht="15" customHeight="1" x14ac:dyDescent="0.2">
      <c r="C1041" s="100"/>
      <c r="D1041" s="100"/>
    </row>
    <row r="1042" spans="3:4" ht="15" customHeight="1" x14ac:dyDescent="0.2">
      <c r="C1042" s="100"/>
      <c r="D1042" s="100"/>
    </row>
    <row r="1043" spans="3:4" ht="15" customHeight="1" x14ac:dyDescent="0.2">
      <c r="C1043" s="100"/>
      <c r="D1043" s="100"/>
    </row>
    <row r="1044" spans="3:4" ht="15" customHeight="1" x14ac:dyDescent="0.2">
      <c r="C1044" s="100"/>
      <c r="D1044" s="100"/>
    </row>
    <row r="1045" spans="3:4" ht="15" customHeight="1" x14ac:dyDescent="0.2">
      <c r="C1045" s="100"/>
      <c r="D1045" s="100"/>
    </row>
    <row r="1046" spans="3:4" ht="15" customHeight="1" x14ac:dyDescent="0.2">
      <c r="C1046" s="100"/>
      <c r="D1046" s="100"/>
    </row>
    <row r="1047" spans="3:4" ht="15" customHeight="1" x14ac:dyDescent="0.2">
      <c r="C1047" s="100"/>
      <c r="D1047" s="100"/>
    </row>
    <row r="1048" spans="3:4" ht="15" customHeight="1" x14ac:dyDescent="0.2">
      <c r="C1048" s="100"/>
      <c r="D1048" s="100"/>
    </row>
    <row r="1049" spans="3:4" ht="15" customHeight="1" x14ac:dyDescent="0.2">
      <c r="C1049" s="100"/>
      <c r="D1049" s="100"/>
    </row>
    <row r="1050" spans="3:4" ht="15" customHeight="1" x14ac:dyDescent="0.2">
      <c r="C1050" s="100"/>
      <c r="D1050" s="100"/>
    </row>
    <row r="1051" spans="3:4" ht="15" customHeight="1" x14ac:dyDescent="0.2">
      <c r="C1051" s="100"/>
      <c r="D1051" s="100"/>
    </row>
    <row r="1052" spans="3:4" ht="15" customHeight="1" x14ac:dyDescent="0.2">
      <c r="C1052" s="100"/>
      <c r="D1052" s="100"/>
    </row>
    <row r="1053" spans="3:4" ht="15" customHeight="1" x14ac:dyDescent="0.2">
      <c r="C1053" s="100"/>
      <c r="D1053" s="100"/>
    </row>
    <row r="1054" spans="3:4" ht="15" customHeight="1" x14ac:dyDescent="0.2">
      <c r="C1054" s="100"/>
      <c r="D1054" s="100"/>
    </row>
    <row r="1055" spans="3:4" ht="15" customHeight="1" x14ac:dyDescent="0.2">
      <c r="C1055" s="100"/>
      <c r="D1055" s="100"/>
    </row>
    <row r="1056" spans="3:4" ht="15" customHeight="1" x14ac:dyDescent="0.2">
      <c r="C1056" s="100"/>
      <c r="D1056" s="100"/>
    </row>
    <row r="1057" spans="3:4" ht="15" customHeight="1" x14ac:dyDescent="0.2">
      <c r="C1057" s="100"/>
      <c r="D1057" s="100"/>
    </row>
    <row r="1058" spans="3:4" ht="15" customHeight="1" x14ac:dyDescent="0.2">
      <c r="C1058" s="100"/>
      <c r="D1058" s="100"/>
    </row>
    <row r="1059" spans="3:4" ht="15" customHeight="1" x14ac:dyDescent="0.2">
      <c r="C1059" s="100"/>
      <c r="D1059" s="100"/>
    </row>
    <row r="1060" spans="3:4" ht="15" customHeight="1" x14ac:dyDescent="0.2">
      <c r="C1060" s="100"/>
      <c r="D1060" s="100"/>
    </row>
    <row r="1061" spans="3:4" ht="15" customHeight="1" x14ac:dyDescent="0.2">
      <c r="C1061" s="100"/>
      <c r="D1061" s="100"/>
    </row>
    <row r="1062" spans="3:4" ht="15" customHeight="1" x14ac:dyDescent="0.2">
      <c r="C1062" s="100"/>
      <c r="D1062" s="100"/>
    </row>
    <row r="1063" spans="3:4" ht="15" customHeight="1" x14ac:dyDescent="0.2">
      <c r="C1063" s="100"/>
      <c r="D1063" s="100"/>
    </row>
    <row r="1064" spans="3:4" ht="15" customHeight="1" x14ac:dyDescent="0.2">
      <c r="C1064" s="100"/>
      <c r="D1064" s="100"/>
    </row>
    <row r="1065" spans="3:4" ht="15" customHeight="1" x14ac:dyDescent="0.2">
      <c r="C1065" s="100"/>
      <c r="D1065" s="100"/>
    </row>
    <row r="1066" spans="3:4" ht="15" customHeight="1" x14ac:dyDescent="0.2">
      <c r="C1066" s="100"/>
      <c r="D1066" s="100"/>
    </row>
    <row r="1067" spans="3:4" ht="15" customHeight="1" x14ac:dyDescent="0.2">
      <c r="C1067" s="100"/>
      <c r="D1067" s="100"/>
    </row>
    <row r="1068" spans="3:4" ht="15" customHeight="1" x14ac:dyDescent="0.2">
      <c r="C1068" s="100"/>
      <c r="D1068" s="100"/>
    </row>
    <row r="1069" spans="3:4" ht="15" customHeight="1" x14ac:dyDescent="0.2">
      <c r="C1069" s="100"/>
      <c r="D1069" s="100"/>
    </row>
    <row r="1070" spans="3:4" ht="15" customHeight="1" x14ac:dyDescent="0.2">
      <c r="C1070" s="100"/>
      <c r="D1070" s="100"/>
    </row>
    <row r="1071" spans="3:4" ht="15" customHeight="1" x14ac:dyDescent="0.2">
      <c r="C1071" s="100"/>
      <c r="D1071" s="100"/>
    </row>
    <row r="1072" spans="3:4" ht="15" customHeight="1" x14ac:dyDescent="0.2">
      <c r="C1072" s="100"/>
      <c r="D1072" s="100"/>
    </row>
    <row r="1073" spans="3:4" ht="15" customHeight="1" x14ac:dyDescent="0.2">
      <c r="C1073" s="100"/>
      <c r="D1073" s="100"/>
    </row>
    <row r="1074" spans="3:4" ht="15" customHeight="1" x14ac:dyDescent="0.2">
      <c r="C1074" s="100"/>
      <c r="D1074" s="100"/>
    </row>
    <row r="1075" spans="3:4" ht="15" customHeight="1" x14ac:dyDescent="0.2">
      <c r="C1075" s="100"/>
      <c r="D1075" s="100"/>
    </row>
    <row r="1076" spans="3:4" ht="15" customHeight="1" x14ac:dyDescent="0.2">
      <c r="C1076" s="100"/>
      <c r="D1076" s="100"/>
    </row>
    <row r="1077" spans="3:4" ht="15" customHeight="1" x14ac:dyDescent="0.2">
      <c r="C1077" s="100"/>
      <c r="D1077" s="100"/>
    </row>
    <row r="1078" spans="3:4" ht="15" customHeight="1" x14ac:dyDescent="0.2">
      <c r="C1078" s="100"/>
      <c r="D1078" s="100"/>
    </row>
    <row r="1079" spans="3:4" ht="15" customHeight="1" x14ac:dyDescent="0.2">
      <c r="C1079" s="100"/>
      <c r="D1079" s="100"/>
    </row>
    <row r="1080" spans="3:4" ht="15" customHeight="1" x14ac:dyDescent="0.2">
      <c r="C1080" s="100"/>
      <c r="D1080" s="100"/>
    </row>
    <row r="1081" spans="3:4" ht="15" customHeight="1" x14ac:dyDescent="0.2">
      <c r="C1081" s="100"/>
      <c r="D1081" s="100"/>
    </row>
    <row r="1082" spans="3:4" ht="15" customHeight="1" x14ac:dyDescent="0.2">
      <c r="C1082" s="100"/>
      <c r="D1082" s="100"/>
    </row>
    <row r="1083" spans="3:4" ht="15" customHeight="1" x14ac:dyDescent="0.2">
      <c r="C1083" s="100"/>
      <c r="D1083" s="100"/>
    </row>
    <row r="1084" spans="3:4" ht="15" customHeight="1" x14ac:dyDescent="0.2">
      <c r="C1084" s="100"/>
      <c r="D1084" s="100"/>
    </row>
    <row r="1085" spans="3:4" ht="15" customHeight="1" x14ac:dyDescent="0.2">
      <c r="C1085" s="100"/>
      <c r="D1085" s="100"/>
    </row>
    <row r="1086" spans="3:4" ht="15" customHeight="1" x14ac:dyDescent="0.2">
      <c r="C1086" s="100"/>
      <c r="D1086" s="100"/>
    </row>
    <row r="1087" spans="3:4" ht="15" customHeight="1" x14ac:dyDescent="0.2">
      <c r="C1087" s="100"/>
      <c r="D1087" s="100"/>
    </row>
    <row r="1088" spans="3:4" ht="15" customHeight="1" x14ac:dyDescent="0.2">
      <c r="C1088" s="100"/>
      <c r="D1088" s="100"/>
    </row>
    <row r="1089" spans="3:4" ht="15" customHeight="1" x14ac:dyDescent="0.2">
      <c r="C1089" s="100"/>
      <c r="D1089" s="100"/>
    </row>
    <row r="1090" spans="3:4" ht="15" customHeight="1" x14ac:dyDescent="0.2">
      <c r="C1090" s="100"/>
      <c r="D1090" s="100"/>
    </row>
    <row r="1091" spans="3:4" ht="15" customHeight="1" x14ac:dyDescent="0.2">
      <c r="C1091" s="100"/>
      <c r="D1091" s="100"/>
    </row>
    <row r="1092" spans="3:4" ht="15" customHeight="1" x14ac:dyDescent="0.2">
      <c r="C1092" s="100"/>
      <c r="D1092" s="100"/>
    </row>
    <row r="1093" spans="3:4" ht="15" customHeight="1" x14ac:dyDescent="0.2">
      <c r="C1093" s="100"/>
      <c r="D1093" s="100"/>
    </row>
    <row r="1094" spans="3:4" ht="15" customHeight="1" x14ac:dyDescent="0.2">
      <c r="C1094" s="100"/>
      <c r="D1094" s="100"/>
    </row>
    <row r="1095" spans="3:4" ht="15" customHeight="1" x14ac:dyDescent="0.2">
      <c r="C1095" s="100"/>
      <c r="D1095" s="100"/>
    </row>
    <row r="1096" spans="3:4" ht="15" customHeight="1" x14ac:dyDescent="0.2">
      <c r="C1096" s="100"/>
      <c r="D1096" s="100"/>
    </row>
    <row r="1097" spans="3:4" ht="15" customHeight="1" x14ac:dyDescent="0.2">
      <c r="C1097" s="100"/>
      <c r="D1097" s="100"/>
    </row>
    <row r="1098" spans="3:4" ht="15" customHeight="1" x14ac:dyDescent="0.2">
      <c r="C1098" s="100"/>
      <c r="D1098" s="100"/>
    </row>
    <row r="1099" spans="3:4" ht="15" customHeight="1" x14ac:dyDescent="0.2">
      <c r="C1099" s="100"/>
      <c r="D1099" s="100"/>
    </row>
    <row r="1100" spans="3:4" ht="15" customHeight="1" x14ac:dyDescent="0.2">
      <c r="C1100" s="100"/>
      <c r="D1100" s="100"/>
    </row>
    <row r="1101" spans="3:4" ht="15" customHeight="1" x14ac:dyDescent="0.2">
      <c r="C1101" s="100"/>
      <c r="D1101" s="100"/>
    </row>
    <row r="1102" spans="3:4" ht="15" customHeight="1" x14ac:dyDescent="0.2">
      <c r="C1102" s="100"/>
      <c r="D1102" s="100"/>
    </row>
    <row r="1103" spans="3:4" ht="15" customHeight="1" x14ac:dyDescent="0.2">
      <c r="C1103" s="100"/>
      <c r="D1103" s="100"/>
    </row>
    <row r="1104" spans="3:4" ht="15" customHeight="1" x14ac:dyDescent="0.2">
      <c r="C1104" s="100"/>
      <c r="D1104" s="100"/>
    </row>
    <row r="1105" spans="3:4" ht="15" customHeight="1" x14ac:dyDescent="0.2">
      <c r="C1105" s="100"/>
      <c r="D1105" s="100"/>
    </row>
    <row r="1106" spans="3:4" ht="15" customHeight="1" x14ac:dyDescent="0.2">
      <c r="C1106" s="100"/>
      <c r="D1106" s="100"/>
    </row>
    <row r="1107" spans="3:4" ht="15" customHeight="1" x14ac:dyDescent="0.2">
      <c r="C1107" s="100"/>
      <c r="D1107" s="100"/>
    </row>
    <row r="1108" spans="3:4" ht="15" customHeight="1" x14ac:dyDescent="0.2">
      <c r="C1108" s="100"/>
      <c r="D1108" s="100"/>
    </row>
    <row r="1109" spans="3:4" ht="15" customHeight="1" x14ac:dyDescent="0.2">
      <c r="C1109" s="100"/>
      <c r="D1109" s="100"/>
    </row>
    <row r="1110" spans="3:4" ht="15" customHeight="1" x14ac:dyDescent="0.2">
      <c r="C1110" s="100"/>
      <c r="D1110" s="100"/>
    </row>
    <row r="1111" spans="3:4" ht="15" customHeight="1" x14ac:dyDescent="0.2">
      <c r="C1111" s="100"/>
      <c r="D1111" s="100"/>
    </row>
    <row r="1112" spans="3:4" ht="15" customHeight="1" x14ac:dyDescent="0.2">
      <c r="C1112" s="100"/>
      <c r="D1112" s="100"/>
    </row>
    <row r="1113" spans="3:4" ht="15" customHeight="1" x14ac:dyDescent="0.2">
      <c r="C1113" s="100"/>
      <c r="D1113" s="100"/>
    </row>
    <row r="1114" spans="3:4" ht="15" customHeight="1" x14ac:dyDescent="0.2">
      <c r="C1114" s="100"/>
      <c r="D1114" s="100"/>
    </row>
    <row r="1115" spans="3:4" ht="15" customHeight="1" x14ac:dyDescent="0.2">
      <c r="C1115" s="100"/>
      <c r="D1115" s="100"/>
    </row>
    <row r="1116" spans="3:4" ht="15" customHeight="1" x14ac:dyDescent="0.2">
      <c r="C1116" s="100"/>
      <c r="D1116" s="100"/>
    </row>
    <row r="1117" spans="3:4" ht="15" customHeight="1" x14ac:dyDescent="0.2">
      <c r="C1117" s="100"/>
      <c r="D1117" s="100"/>
    </row>
    <row r="1118" spans="3:4" ht="15" customHeight="1" x14ac:dyDescent="0.2">
      <c r="C1118" s="100"/>
      <c r="D1118" s="100"/>
    </row>
    <row r="1119" spans="3:4" ht="15" customHeight="1" x14ac:dyDescent="0.2">
      <c r="C1119" s="100"/>
      <c r="D1119" s="100"/>
    </row>
    <row r="1120" spans="3:4" ht="15" customHeight="1" x14ac:dyDescent="0.2">
      <c r="C1120" s="100"/>
      <c r="D1120" s="100"/>
    </row>
    <row r="1121" spans="3:4" ht="15" customHeight="1" x14ac:dyDescent="0.2">
      <c r="C1121" s="100"/>
      <c r="D1121" s="100"/>
    </row>
    <row r="1122" spans="3:4" ht="15" customHeight="1" x14ac:dyDescent="0.2">
      <c r="C1122" s="100"/>
      <c r="D1122" s="100"/>
    </row>
    <row r="1123" spans="3:4" ht="15" customHeight="1" x14ac:dyDescent="0.2">
      <c r="C1123" s="100"/>
      <c r="D1123" s="100"/>
    </row>
    <row r="1124" spans="3:4" ht="15" customHeight="1" x14ac:dyDescent="0.2">
      <c r="C1124" s="100"/>
      <c r="D1124" s="100"/>
    </row>
    <row r="1125" spans="3:4" ht="15" customHeight="1" x14ac:dyDescent="0.2">
      <c r="C1125" s="100"/>
      <c r="D1125" s="100"/>
    </row>
    <row r="1126" spans="3:4" ht="15" customHeight="1" x14ac:dyDescent="0.2">
      <c r="C1126" s="100"/>
      <c r="D1126" s="100"/>
    </row>
    <row r="1127" spans="3:4" ht="15" customHeight="1" x14ac:dyDescent="0.2">
      <c r="C1127" s="100"/>
      <c r="D1127" s="100"/>
    </row>
    <row r="1128" spans="3:4" ht="15" customHeight="1" x14ac:dyDescent="0.2">
      <c r="C1128" s="100"/>
      <c r="D1128" s="100"/>
    </row>
    <row r="1129" spans="3:4" ht="15" customHeight="1" x14ac:dyDescent="0.2">
      <c r="C1129" s="100"/>
      <c r="D1129" s="100"/>
    </row>
    <row r="1130" spans="3:4" ht="15" customHeight="1" x14ac:dyDescent="0.2">
      <c r="C1130" s="100"/>
      <c r="D1130" s="100"/>
    </row>
    <row r="1131" spans="3:4" ht="15" customHeight="1" x14ac:dyDescent="0.2">
      <c r="C1131" s="100"/>
      <c r="D1131" s="100"/>
    </row>
    <row r="1132" spans="3:4" ht="15" customHeight="1" x14ac:dyDescent="0.2">
      <c r="C1132" s="100"/>
      <c r="D1132" s="100"/>
    </row>
    <row r="1133" spans="3:4" ht="15" customHeight="1" x14ac:dyDescent="0.2">
      <c r="C1133" s="100"/>
      <c r="D1133" s="100"/>
    </row>
    <row r="1134" spans="3:4" ht="15" customHeight="1" x14ac:dyDescent="0.2">
      <c r="C1134" s="100"/>
      <c r="D1134" s="100"/>
    </row>
    <row r="1135" spans="3:4" ht="15" customHeight="1" x14ac:dyDescent="0.2">
      <c r="C1135" s="100"/>
      <c r="D1135" s="100"/>
    </row>
    <row r="1136" spans="3:4" ht="15" customHeight="1" x14ac:dyDescent="0.2">
      <c r="C1136" s="100"/>
      <c r="D1136" s="100"/>
    </row>
    <row r="1137" spans="3:4" ht="15" customHeight="1" x14ac:dyDescent="0.2">
      <c r="C1137" s="100"/>
      <c r="D1137" s="100"/>
    </row>
    <row r="1138" spans="3:4" ht="15" customHeight="1" x14ac:dyDescent="0.2">
      <c r="C1138" s="100"/>
      <c r="D1138" s="100"/>
    </row>
    <row r="1139" spans="3:4" ht="15" customHeight="1" x14ac:dyDescent="0.2">
      <c r="C1139" s="100"/>
      <c r="D1139" s="100"/>
    </row>
    <row r="1140" spans="3:4" ht="15" customHeight="1" x14ac:dyDescent="0.2">
      <c r="C1140" s="100"/>
      <c r="D1140" s="100"/>
    </row>
    <row r="1141" spans="3:4" ht="15" customHeight="1" x14ac:dyDescent="0.2">
      <c r="C1141" s="100"/>
      <c r="D1141" s="100"/>
    </row>
    <row r="1142" spans="3:4" ht="15" customHeight="1" x14ac:dyDescent="0.2">
      <c r="C1142" s="100"/>
      <c r="D1142" s="100"/>
    </row>
    <row r="1143" spans="3:4" ht="15" customHeight="1" x14ac:dyDescent="0.2">
      <c r="C1143" s="100"/>
      <c r="D1143" s="100"/>
    </row>
    <row r="1144" spans="3:4" ht="15" customHeight="1" x14ac:dyDescent="0.2">
      <c r="C1144" s="100"/>
      <c r="D1144" s="100"/>
    </row>
    <row r="1145" spans="3:4" ht="15" customHeight="1" x14ac:dyDescent="0.2">
      <c r="C1145" s="100"/>
      <c r="D1145" s="100"/>
    </row>
    <row r="1146" spans="3:4" ht="15" customHeight="1" x14ac:dyDescent="0.2">
      <c r="C1146" s="100"/>
      <c r="D1146" s="100"/>
    </row>
    <row r="1147" spans="3:4" ht="15" customHeight="1" x14ac:dyDescent="0.2">
      <c r="C1147" s="100"/>
      <c r="D1147" s="100"/>
    </row>
    <row r="1148" spans="3:4" ht="15" customHeight="1" x14ac:dyDescent="0.2">
      <c r="C1148" s="100"/>
      <c r="D1148" s="100"/>
    </row>
    <row r="1149" spans="3:4" ht="15" customHeight="1" x14ac:dyDescent="0.2">
      <c r="C1149" s="100"/>
      <c r="D1149" s="100"/>
    </row>
    <row r="1150" spans="3:4" ht="15" customHeight="1" x14ac:dyDescent="0.2">
      <c r="C1150" s="100"/>
      <c r="D1150" s="100"/>
    </row>
    <row r="1151" spans="3:4" ht="15" customHeight="1" x14ac:dyDescent="0.2">
      <c r="C1151" s="100"/>
      <c r="D1151" s="100"/>
    </row>
    <row r="1152" spans="3:4" ht="15" customHeight="1" x14ac:dyDescent="0.2">
      <c r="C1152" s="100"/>
      <c r="D1152" s="100"/>
    </row>
    <row r="1153" spans="3:4" ht="15" customHeight="1" x14ac:dyDescent="0.2">
      <c r="C1153" s="100"/>
      <c r="D1153" s="100"/>
    </row>
    <row r="1154" spans="3:4" ht="15" customHeight="1" x14ac:dyDescent="0.2">
      <c r="C1154" s="100"/>
      <c r="D1154" s="100"/>
    </row>
    <row r="1155" spans="3:4" ht="15" customHeight="1" x14ac:dyDescent="0.2">
      <c r="C1155" s="100"/>
      <c r="D1155" s="100"/>
    </row>
    <row r="1156" spans="3:4" ht="15" customHeight="1" x14ac:dyDescent="0.2">
      <c r="C1156" s="100"/>
      <c r="D1156" s="100"/>
    </row>
    <row r="1157" spans="3:4" ht="15" customHeight="1" x14ac:dyDescent="0.2">
      <c r="C1157" s="100"/>
      <c r="D1157" s="100"/>
    </row>
    <row r="1158" spans="3:4" ht="15" customHeight="1" x14ac:dyDescent="0.2">
      <c r="C1158" s="100"/>
      <c r="D1158" s="100"/>
    </row>
    <row r="1159" spans="3:4" ht="15" customHeight="1" x14ac:dyDescent="0.2">
      <c r="C1159" s="100"/>
      <c r="D1159" s="100"/>
    </row>
    <row r="1160" spans="3:4" ht="15" customHeight="1" x14ac:dyDescent="0.2">
      <c r="C1160" s="100"/>
      <c r="D1160" s="100"/>
    </row>
    <row r="1161" spans="3:4" ht="15" customHeight="1" x14ac:dyDescent="0.2">
      <c r="C1161" s="100"/>
      <c r="D1161" s="100"/>
    </row>
    <row r="1162" spans="3:4" ht="15" customHeight="1" x14ac:dyDescent="0.2">
      <c r="C1162" s="100"/>
      <c r="D1162" s="100"/>
    </row>
    <row r="1163" spans="3:4" ht="15" customHeight="1" x14ac:dyDescent="0.2">
      <c r="C1163" s="100"/>
      <c r="D1163" s="100"/>
    </row>
    <row r="1164" spans="3:4" ht="15" customHeight="1" x14ac:dyDescent="0.2">
      <c r="C1164" s="100"/>
      <c r="D1164" s="100"/>
    </row>
    <row r="1165" spans="3:4" ht="15" customHeight="1" x14ac:dyDescent="0.2">
      <c r="C1165" s="100"/>
      <c r="D1165" s="100"/>
    </row>
    <row r="1166" spans="3:4" ht="15" customHeight="1" x14ac:dyDescent="0.2">
      <c r="C1166" s="100"/>
      <c r="D1166" s="100"/>
    </row>
    <row r="1167" spans="3:4" ht="15" customHeight="1" x14ac:dyDescent="0.2">
      <c r="C1167" s="100"/>
      <c r="D1167" s="100"/>
    </row>
    <row r="1168" spans="3:4" ht="15" customHeight="1" x14ac:dyDescent="0.2">
      <c r="C1168" s="100"/>
      <c r="D1168" s="100"/>
    </row>
    <row r="1169" spans="3:4" ht="15" customHeight="1" x14ac:dyDescent="0.2">
      <c r="C1169" s="100"/>
      <c r="D1169" s="100"/>
    </row>
    <row r="1170" spans="3:4" ht="15" customHeight="1" x14ac:dyDescent="0.2">
      <c r="C1170" s="100"/>
      <c r="D1170" s="100"/>
    </row>
    <row r="1171" spans="3:4" ht="15" customHeight="1" x14ac:dyDescent="0.2">
      <c r="C1171" s="100"/>
      <c r="D1171" s="100"/>
    </row>
    <row r="1172" spans="3:4" ht="15" customHeight="1" x14ac:dyDescent="0.2">
      <c r="C1172" s="100"/>
      <c r="D1172" s="100"/>
    </row>
    <row r="1173" spans="3:4" ht="15" customHeight="1" x14ac:dyDescent="0.2">
      <c r="C1173" s="100"/>
      <c r="D1173" s="100"/>
    </row>
    <row r="1174" spans="3:4" ht="15" customHeight="1" x14ac:dyDescent="0.2">
      <c r="C1174" s="100"/>
      <c r="D1174" s="100"/>
    </row>
    <row r="1175" spans="3:4" ht="15" customHeight="1" x14ac:dyDescent="0.2">
      <c r="C1175" s="100"/>
      <c r="D1175" s="100"/>
    </row>
    <row r="1176" spans="3:4" ht="15" customHeight="1" x14ac:dyDescent="0.2">
      <c r="C1176" s="100"/>
      <c r="D1176" s="100"/>
    </row>
    <row r="1177" spans="3:4" ht="15" customHeight="1" x14ac:dyDescent="0.2">
      <c r="C1177" s="100"/>
      <c r="D1177" s="100"/>
    </row>
    <row r="1178" spans="3:4" ht="15" customHeight="1" x14ac:dyDescent="0.2">
      <c r="C1178" s="100"/>
      <c r="D1178" s="100"/>
    </row>
    <row r="1179" spans="3:4" ht="15" customHeight="1" x14ac:dyDescent="0.2">
      <c r="C1179" s="100"/>
      <c r="D1179" s="100"/>
    </row>
    <row r="1180" spans="3:4" ht="15" customHeight="1" x14ac:dyDescent="0.2">
      <c r="C1180" s="100"/>
      <c r="D1180" s="100"/>
    </row>
    <row r="1181" spans="3:4" ht="15" customHeight="1" x14ac:dyDescent="0.2">
      <c r="C1181" s="100"/>
      <c r="D1181" s="100"/>
    </row>
    <row r="1182" spans="3:4" ht="15" customHeight="1" x14ac:dyDescent="0.2">
      <c r="C1182" s="100"/>
      <c r="D1182" s="100"/>
    </row>
    <row r="1183" spans="3:4" ht="15" customHeight="1" x14ac:dyDescent="0.2">
      <c r="C1183" s="100"/>
      <c r="D1183" s="100"/>
    </row>
    <row r="1184" spans="3:4" ht="15" customHeight="1" x14ac:dyDescent="0.2">
      <c r="C1184" s="100"/>
      <c r="D1184" s="100"/>
    </row>
    <row r="1185" spans="3:4" ht="15" customHeight="1" x14ac:dyDescent="0.2">
      <c r="C1185" s="100"/>
      <c r="D1185" s="100"/>
    </row>
    <row r="1186" spans="3:4" ht="15" customHeight="1" x14ac:dyDescent="0.2">
      <c r="C1186" s="100"/>
      <c r="D1186" s="100"/>
    </row>
    <row r="1187" spans="3:4" ht="15" customHeight="1" x14ac:dyDescent="0.2">
      <c r="C1187" s="100"/>
      <c r="D1187" s="100"/>
    </row>
    <row r="1188" spans="3:4" ht="15" customHeight="1" x14ac:dyDescent="0.2">
      <c r="C1188" s="100"/>
      <c r="D1188" s="100"/>
    </row>
    <row r="1189" spans="3:4" ht="15" customHeight="1" x14ac:dyDescent="0.2">
      <c r="C1189" s="100"/>
      <c r="D1189" s="100"/>
    </row>
    <row r="1190" spans="3:4" ht="15" customHeight="1" x14ac:dyDescent="0.2">
      <c r="C1190" s="100"/>
      <c r="D1190" s="100"/>
    </row>
    <row r="1191" spans="3:4" ht="15" customHeight="1" x14ac:dyDescent="0.2">
      <c r="C1191" s="100"/>
      <c r="D1191" s="100"/>
    </row>
    <row r="1192" spans="3:4" ht="15" customHeight="1" x14ac:dyDescent="0.2">
      <c r="C1192" s="100"/>
      <c r="D1192" s="100"/>
    </row>
    <row r="1193" spans="3:4" ht="15" customHeight="1" x14ac:dyDescent="0.2">
      <c r="C1193" s="100"/>
      <c r="D1193" s="100"/>
    </row>
    <row r="1194" spans="3:4" ht="15" customHeight="1" x14ac:dyDescent="0.2">
      <c r="C1194" s="100"/>
      <c r="D1194" s="100"/>
    </row>
    <row r="1195" spans="3:4" ht="15" customHeight="1" x14ac:dyDescent="0.2">
      <c r="C1195" s="100"/>
      <c r="D1195" s="100"/>
    </row>
    <row r="1196" spans="3:4" ht="15" customHeight="1" x14ac:dyDescent="0.2">
      <c r="C1196" s="100"/>
      <c r="D1196" s="100"/>
    </row>
    <row r="1197" spans="3:4" ht="15" customHeight="1" x14ac:dyDescent="0.2">
      <c r="C1197" s="100"/>
      <c r="D1197" s="100"/>
    </row>
    <row r="1198" spans="3:4" ht="15" customHeight="1" x14ac:dyDescent="0.2">
      <c r="C1198" s="100"/>
      <c r="D1198" s="100"/>
    </row>
    <row r="1199" spans="3:4" ht="15" customHeight="1" x14ac:dyDescent="0.2">
      <c r="C1199" s="100"/>
      <c r="D1199" s="100"/>
    </row>
    <row r="1200" spans="3:4" ht="15" customHeight="1" x14ac:dyDescent="0.2">
      <c r="C1200" s="100"/>
      <c r="D1200" s="100"/>
    </row>
    <row r="1201" spans="3:4" ht="15" customHeight="1" x14ac:dyDescent="0.2">
      <c r="C1201" s="100"/>
      <c r="D1201" s="100"/>
    </row>
    <row r="1202" spans="3:4" ht="15" customHeight="1" x14ac:dyDescent="0.2">
      <c r="C1202" s="100"/>
      <c r="D1202" s="100"/>
    </row>
    <row r="1203" spans="3:4" ht="15" customHeight="1" x14ac:dyDescent="0.2">
      <c r="C1203" s="100"/>
      <c r="D1203" s="100"/>
    </row>
    <row r="1204" spans="3:4" ht="15" customHeight="1" x14ac:dyDescent="0.2">
      <c r="C1204" s="100"/>
      <c r="D1204" s="100"/>
    </row>
    <row r="1205" spans="3:4" ht="15" customHeight="1" x14ac:dyDescent="0.2">
      <c r="C1205" s="100"/>
      <c r="D1205" s="100"/>
    </row>
    <row r="1206" spans="3:4" ht="15" customHeight="1" x14ac:dyDescent="0.2">
      <c r="C1206" s="100"/>
      <c r="D1206" s="100"/>
    </row>
    <row r="1207" spans="3:4" ht="15" customHeight="1" x14ac:dyDescent="0.2">
      <c r="C1207" s="100"/>
      <c r="D1207" s="100"/>
    </row>
    <row r="1208" spans="3:4" ht="15" customHeight="1" x14ac:dyDescent="0.2">
      <c r="C1208" s="100"/>
      <c r="D1208" s="100"/>
    </row>
    <row r="1209" spans="3:4" ht="15" customHeight="1" x14ac:dyDescent="0.2">
      <c r="C1209" s="100"/>
      <c r="D1209" s="100"/>
    </row>
    <row r="1210" spans="3:4" ht="15" customHeight="1" x14ac:dyDescent="0.2">
      <c r="C1210" s="100"/>
      <c r="D1210" s="100"/>
    </row>
    <row r="1211" spans="3:4" ht="15" customHeight="1" x14ac:dyDescent="0.2">
      <c r="C1211" s="100"/>
      <c r="D1211" s="100"/>
    </row>
    <row r="1212" spans="3:4" ht="15" customHeight="1" x14ac:dyDescent="0.2">
      <c r="C1212" s="100"/>
      <c r="D1212" s="100"/>
    </row>
    <row r="1213" spans="3:4" ht="15" customHeight="1" x14ac:dyDescent="0.2">
      <c r="C1213" s="100"/>
      <c r="D1213" s="100"/>
    </row>
    <row r="1214" spans="3:4" ht="15" customHeight="1" x14ac:dyDescent="0.2">
      <c r="C1214" s="100"/>
      <c r="D1214" s="100"/>
    </row>
    <row r="1215" spans="3:4" ht="15" customHeight="1" x14ac:dyDescent="0.2">
      <c r="C1215" s="100"/>
      <c r="D1215" s="100"/>
    </row>
    <row r="1216" spans="3:4" ht="15" customHeight="1" x14ac:dyDescent="0.2">
      <c r="C1216" s="100"/>
      <c r="D1216" s="100"/>
    </row>
    <row r="1217" spans="3:4" ht="15" customHeight="1" x14ac:dyDescent="0.2">
      <c r="C1217" s="100"/>
      <c r="D1217" s="100"/>
    </row>
    <row r="1218" spans="3:4" ht="15" customHeight="1" x14ac:dyDescent="0.2">
      <c r="C1218" s="100"/>
      <c r="D1218" s="100"/>
    </row>
    <row r="1219" spans="3:4" ht="15" customHeight="1" x14ac:dyDescent="0.2">
      <c r="C1219" s="100"/>
      <c r="D1219" s="100"/>
    </row>
    <row r="1220" spans="3:4" ht="15" customHeight="1" x14ac:dyDescent="0.2">
      <c r="C1220" s="100"/>
      <c r="D1220" s="100"/>
    </row>
    <row r="1221" spans="3:4" ht="15" customHeight="1" x14ac:dyDescent="0.2">
      <c r="C1221" s="100"/>
      <c r="D1221" s="100"/>
    </row>
    <row r="1222" spans="3:4" ht="15" customHeight="1" x14ac:dyDescent="0.2">
      <c r="C1222" s="100"/>
      <c r="D1222" s="100"/>
    </row>
    <row r="1223" spans="3:4" ht="15" customHeight="1" x14ac:dyDescent="0.2">
      <c r="C1223" s="100"/>
      <c r="D1223" s="100"/>
    </row>
    <row r="1224" spans="3:4" ht="15" customHeight="1" x14ac:dyDescent="0.2">
      <c r="C1224" s="100"/>
      <c r="D1224" s="100"/>
    </row>
    <row r="1225" spans="3:4" ht="15" customHeight="1" x14ac:dyDescent="0.2">
      <c r="C1225" s="100"/>
      <c r="D1225" s="100"/>
    </row>
    <row r="1226" spans="3:4" ht="15" customHeight="1" x14ac:dyDescent="0.2">
      <c r="C1226" s="100"/>
      <c r="D1226" s="100"/>
    </row>
    <row r="1227" spans="3:4" ht="15" customHeight="1" x14ac:dyDescent="0.2">
      <c r="C1227" s="100"/>
      <c r="D1227" s="100"/>
    </row>
    <row r="1228" spans="3:4" ht="15" customHeight="1" x14ac:dyDescent="0.2">
      <c r="C1228" s="100"/>
      <c r="D1228" s="100"/>
    </row>
    <row r="1229" spans="3:4" ht="15" customHeight="1" x14ac:dyDescent="0.2">
      <c r="C1229" s="100"/>
      <c r="D1229" s="100"/>
    </row>
    <row r="1230" spans="3:4" ht="15" customHeight="1" x14ac:dyDescent="0.2">
      <c r="C1230" s="100"/>
      <c r="D1230" s="100"/>
    </row>
    <row r="1231" spans="3:4" ht="15" customHeight="1" x14ac:dyDescent="0.2">
      <c r="C1231" s="100"/>
      <c r="D1231" s="100"/>
    </row>
    <row r="1232" spans="3:4" ht="15" customHeight="1" x14ac:dyDescent="0.2">
      <c r="C1232" s="100"/>
      <c r="D1232" s="100"/>
    </row>
    <row r="1233" spans="3:4" ht="15" customHeight="1" x14ac:dyDescent="0.2">
      <c r="C1233" s="100"/>
      <c r="D1233" s="100"/>
    </row>
    <row r="1234" spans="3:4" ht="15" customHeight="1" x14ac:dyDescent="0.2">
      <c r="C1234" s="100"/>
      <c r="D1234" s="100"/>
    </row>
    <row r="1235" spans="3:4" ht="15" customHeight="1" x14ac:dyDescent="0.2">
      <c r="C1235" s="100"/>
      <c r="D1235" s="100"/>
    </row>
    <row r="1236" spans="3:4" ht="15" customHeight="1" x14ac:dyDescent="0.2">
      <c r="C1236" s="100"/>
      <c r="D1236" s="100"/>
    </row>
    <row r="1237" spans="3:4" ht="15" customHeight="1" x14ac:dyDescent="0.2">
      <c r="C1237" s="100"/>
      <c r="D1237" s="100"/>
    </row>
    <row r="1238" spans="3:4" ht="15" customHeight="1" x14ac:dyDescent="0.2">
      <c r="C1238" s="100"/>
      <c r="D1238" s="100"/>
    </row>
    <row r="1239" spans="3:4" ht="15" customHeight="1" x14ac:dyDescent="0.2">
      <c r="C1239" s="100"/>
      <c r="D1239" s="100"/>
    </row>
    <row r="1240" spans="3:4" ht="15" customHeight="1" x14ac:dyDescent="0.2">
      <c r="C1240" s="100"/>
      <c r="D1240" s="100"/>
    </row>
    <row r="1241" spans="3:4" ht="15" customHeight="1" x14ac:dyDescent="0.2">
      <c r="C1241" s="100"/>
      <c r="D1241" s="100"/>
    </row>
    <row r="1242" spans="3:4" ht="15" customHeight="1" x14ac:dyDescent="0.2">
      <c r="C1242" s="100"/>
      <c r="D1242" s="100"/>
    </row>
    <row r="1243" spans="3:4" ht="15" customHeight="1" x14ac:dyDescent="0.2">
      <c r="C1243" s="100"/>
      <c r="D1243" s="100"/>
    </row>
    <row r="1244" spans="3:4" ht="15" customHeight="1" x14ac:dyDescent="0.2">
      <c r="C1244" s="100"/>
      <c r="D1244" s="100"/>
    </row>
    <row r="1245" spans="3:4" ht="15" customHeight="1" x14ac:dyDescent="0.2">
      <c r="C1245" s="100"/>
      <c r="D1245" s="100"/>
    </row>
    <row r="1246" spans="3:4" ht="15" customHeight="1" x14ac:dyDescent="0.2">
      <c r="C1246" s="100"/>
      <c r="D1246" s="100"/>
    </row>
    <row r="1247" spans="3:4" ht="15" customHeight="1" x14ac:dyDescent="0.2">
      <c r="C1247" s="100"/>
      <c r="D1247" s="100"/>
    </row>
    <row r="1248" spans="3:4" ht="15" customHeight="1" x14ac:dyDescent="0.2">
      <c r="C1248" s="100"/>
      <c r="D1248" s="100"/>
    </row>
    <row r="1249" spans="3:4" ht="15" customHeight="1" x14ac:dyDescent="0.2">
      <c r="C1249" s="100"/>
      <c r="D1249" s="100"/>
    </row>
    <row r="1250" spans="3:4" ht="15" customHeight="1" x14ac:dyDescent="0.2">
      <c r="C1250" s="100"/>
      <c r="D1250" s="100"/>
    </row>
    <row r="1251" spans="3:4" ht="15" customHeight="1" x14ac:dyDescent="0.2">
      <c r="C1251" s="100"/>
      <c r="D1251" s="100"/>
    </row>
    <row r="1252" spans="3:4" ht="15" customHeight="1" x14ac:dyDescent="0.2">
      <c r="C1252" s="100"/>
      <c r="D1252" s="100"/>
    </row>
    <row r="1253" spans="3:4" ht="15" customHeight="1" x14ac:dyDescent="0.2">
      <c r="C1253" s="100"/>
      <c r="D1253" s="100"/>
    </row>
    <row r="1254" spans="3:4" ht="15" customHeight="1" x14ac:dyDescent="0.2">
      <c r="C1254" s="100"/>
      <c r="D1254" s="100"/>
    </row>
    <row r="1255" spans="3:4" ht="15" customHeight="1" x14ac:dyDescent="0.2">
      <c r="C1255" s="100"/>
      <c r="D1255" s="100"/>
    </row>
    <row r="1256" spans="3:4" ht="15" customHeight="1" x14ac:dyDescent="0.2">
      <c r="C1256" s="100"/>
      <c r="D1256" s="100"/>
    </row>
    <row r="1257" spans="3:4" ht="15" customHeight="1" x14ac:dyDescent="0.2">
      <c r="C1257" s="100"/>
      <c r="D1257" s="100"/>
    </row>
    <row r="1258" spans="3:4" ht="15" customHeight="1" x14ac:dyDescent="0.2">
      <c r="C1258" s="100"/>
      <c r="D1258" s="100"/>
    </row>
    <row r="1259" spans="3:4" ht="15" customHeight="1" x14ac:dyDescent="0.2">
      <c r="C1259" s="100"/>
      <c r="D1259" s="100"/>
    </row>
    <row r="1260" spans="3:4" ht="15" customHeight="1" x14ac:dyDescent="0.2">
      <c r="C1260" s="100"/>
      <c r="D1260" s="100"/>
    </row>
    <row r="1261" spans="3:4" ht="15" customHeight="1" x14ac:dyDescent="0.2">
      <c r="C1261" s="100"/>
      <c r="D1261" s="100"/>
    </row>
    <row r="1262" spans="3:4" ht="15" customHeight="1" x14ac:dyDescent="0.2">
      <c r="C1262" s="100"/>
      <c r="D1262" s="100"/>
    </row>
    <row r="1263" spans="3:4" ht="15" customHeight="1" x14ac:dyDescent="0.2">
      <c r="C1263" s="100"/>
      <c r="D1263" s="100"/>
    </row>
    <row r="1264" spans="3:4" ht="15" customHeight="1" x14ac:dyDescent="0.2">
      <c r="C1264" s="100"/>
      <c r="D1264" s="100"/>
    </row>
    <row r="1265" spans="3:4" ht="15" customHeight="1" x14ac:dyDescent="0.2">
      <c r="C1265" s="100"/>
      <c r="D1265" s="100"/>
    </row>
    <row r="1266" spans="3:4" ht="15" customHeight="1" x14ac:dyDescent="0.2">
      <c r="C1266" s="100"/>
      <c r="D1266" s="100"/>
    </row>
    <row r="1267" spans="3:4" ht="15" customHeight="1" x14ac:dyDescent="0.2">
      <c r="C1267" s="100"/>
      <c r="D1267" s="100"/>
    </row>
    <row r="1268" spans="3:4" ht="15" customHeight="1" x14ac:dyDescent="0.2">
      <c r="C1268" s="100"/>
      <c r="D1268" s="100"/>
    </row>
    <row r="1269" spans="3:4" ht="15" customHeight="1" x14ac:dyDescent="0.2">
      <c r="C1269" s="100"/>
      <c r="D1269" s="100"/>
    </row>
    <row r="1270" spans="3:4" ht="15" customHeight="1" x14ac:dyDescent="0.2">
      <c r="C1270" s="100"/>
      <c r="D1270" s="100"/>
    </row>
    <row r="1271" spans="3:4" ht="15" customHeight="1" x14ac:dyDescent="0.2">
      <c r="C1271" s="100"/>
      <c r="D1271" s="100"/>
    </row>
    <row r="1272" spans="3:4" ht="15" customHeight="1" x14ac:dyDescent="0.2">
      <c r="C1272" s="100"/>
      <c r="D1272" s="100"/>
    </row>
    <row r="1273" spans="3:4" ht="15" customHeight="1" x14ac:dyDescent="0.2">
      <c r="C1273" s="100"/>
      <c r="D1273" s="100"/>
    </row>
    <row r="1274" spans="3:4" ht="15" customHeight="1" x14ac:dyDescent="0.2">
      <c r="C1274" s="100"/>
      <c r="D1274" s="100"/>
    </row>
    <row r="1275" spans="3:4" ht="15" customHeight="1" x14ac:dyDescent="0.2">
      <c r="C1275" s="100"/>
      <c r="D1275" s="100"/>
    </row>
    <row r="1276" spans="3:4" ht="15" customHeight="1" x14ac:dyDescent="0.2">
      <c r="C1276" s="100"/>
      <c r="D1276" s="100"/>
    </row>
    <row r="1277" spans="3:4" ht="15" customHeight="1" x14ac:dyDescent="0.2">
      <c r="C1277" s="100"/>
      <c r="D1277" s="100"/>
    </row>
    <row r="1278" spans="3:4" ht="15" customHeight="1" x14ac:dyDescent="0.2">
      <c r="C1278" s="100"/>
      <c r="D1278" s="100"/>
    </row>
    <row r="1279" spans="3:4" ht="15" customHeight="1" x14ac:dyDescent="0.2">
      <c r="C1279" s="100"/>
      <c r="D1279" s="100"/>
    </row>
    <row r="1280" spans="3:4" ht="15" customHeight="1" x14ac:dyDescent="0.2">
      <c r="C1280" s="100"/>
      <c r="D1280" s="100"/>
    </row>
    <row r="1281" spans="3:4" ht="15" customHeight="1" x14ac:dyDescent="0.2">
      <c r="C1281" s="100"/>
      <c r="D1281" s="100"/>
    </row>
    <row r="1282" spans="3:4" ht="15" customHeight="1" x14ac:dyDescent="0.2">
      <c r="C1282" s="100"/>
      <c r="D1282" s="100"/>
    </row>
    <row r="1283" spans="3:4" ht="15" customHeight="1" x14ac:dyDescent="0.2">
      <c r="C1283" s="100"/>
      <c r="D1283" s="100"/>
    </row>
    <row r="1284" spans="3:4" ht="15" customHeight="1" x14ac:dyDescent="0.2">
      <c r="C1284" s="100"/>
      <c r="D1284" s="100"/>
    </row>
    <row r="1285" spans="3:4" ht="15" customHeight="1" x14ac:dyDescent="0.2">
      <c r="C1285" s="100"/>
      <c r="D1285" s="100"/>
    </row>
    <row r="1286" spans="3:4" ht="15" customHeight="1" x14ac:dyDescent="0.2">
      <c r="C1286" s="100"/>
      <c r="D1286" s="100"/>
    </row>
    <row r="1287" spans="3:4" ht="15" customHeight="1" x14ac:dyDescent="0.2">
      <c r="C1287" s="100"/>
      <c r="D1287" s="100"/>
    </row>
    <row r="1288" spans="3:4" ht="15" customHeight="1" x14ac:dyDescent="0.2">
      <c r="C1288" s="100"/>
      <c r="D1288" s="100"/>
    </row>
    <row r="1289" spans="3:4" ht="15" customHeight="1" x14ac:dyDescent="0.2">
      <c r="C1289" s="100"/>
      <c r="D1289" s="100"/>
    </row>
    <row r="1290" spans="3:4" ht="15" customHeight="1" x14ac:dyDescent="0.2">
      <c r="C1290" s="100"/>
      <c r="D1290" s="100"/>
    </row>
    <row r="1291" spans="3:4" ht="15" customHeight="1" x14ac:dyDescent="0.2">
      <c r="C1291" s="100"/>
      <c r="D1291" s="100"/>
    </row>
    <row r="1292" spans="3:4" ht="15" customHeight="1" x14ac:dyDescent="0.2">
      <c r="C1292" s="100"/>
      <c r="D1292" s="100"/>
    </row>
    <row r="1293" spans="3:4" ht="15" customHeight="1" x14ac:dyDescent="0.2">
      <c r="C1293" s="100"/>
      <c r="D1293" s="100"/>
    </row>
    <row r="1294" spans="3:4" ht="15" customHeight="1" x14ac:dyDescent="0.2">
      <c r="C1294" s="100"/>
      <c r="D1294" s="100"/>
    </row>
    <row r="1295" spans="3:4" ht="15" customHeight="1" x14ac:dyDescent="0.2">
      <c r="C1295" s="100"/>
      <c r="D1295" s="100"/>
    </row>
    <row r="1296" spans="3:4" ht="15" customHeight="1" x14ac:dyDescent="0.2">
      <c r="C1296" s="100"/>
      <c r="D1296" s="100"/>
    </row>
    <row r="1297" spans="3:4" ht="15" customHeight="1" x14ac:dyDescent="0.2">
      <c r="C1297" s="100"/>
      <c r="D1297" s="100"/>
    </row>
    <row r="1298" spans="3:4" ht="15" customHeight="1" x14ac:dyDescent="0.2">
      <c r="C1298" s="100"/>
      <c r="D1298" s="100"/>
    </row>
    <row r="1299" spans="3:4" ht="15" customHeight="1" x14ac:dyDescent="0.2">
      <c r="C1299" s="100"/>
      <c r="D1299" s="100"/>
    </row>
    <row r="1300" spans="3:4" ht="15" customHeight="1" x14ac:dyDescent="0.2">
      <c r="C1300" s="100"/>
      <c r="D1300" s="100"/>
    </row>
    <row r="1301" spans="3:4" ht="15" customHeight="1" x14ac:dyDescent="0.2">
      <c r="C1301" s="100"/>
      <c r="D1301" s="100"/>
    </row>
    <row r="1302" spans="3:4" ht="15" customHeight="1" x14ac:dyDescent="0.2">
      <c r="C1302" s="100"/>
      <c r="D1302" s="100"/>
    </row>
    <row r="1303" spans="3:4" ht="15" customHeight="1" x14ac:dyDescent="0.2">
      <c r="C1303" s="100"/>
      <c r="D1303" s="100"/>
    </row>
    <row r="1304" spans="3:4" ht="15" customHeight="1" x14ac:dyDescent="0.2">
      <c r="C1304" s="100"/>
      <c r="D1304" s="100"/>
    </row>
    <row r="1305" spans="3:4" ht="15" customHeight="1" x14ac:dyDescent="0.2">
      <c r="C1305" s="100"/>
      <c r="D1305" s="100"/>
    </row>
    <row r="1306" spans="3:4" ht="15" customHeight="1" x14ac:dyDescent="0.2">
      <c r="C1306" s="100"/>
      <c r="D1306" s="100"/>
    </row>
    <row r="1307" spans="3:4" ht="15" customHeight="1" x14ac:dyDescent="0.2">
      <c r="C1307" s="100"/>
      <c r="D1307" s="100"/>
    </row>
    <row r="1308" spans="3:4" ht="15" customHeight="1" x14ac:dyDescent="0.2">
      <c r="C1308" s="100"/>
      <c r="D1308" s="100"/>
    </row>
    <row r="1309" spans="3:4" ht="15" customHeight="1" x14ac:dyDescent="0.2">
      <c r="C1309" s="100"/>
      <c r="D1309" s="100"/>
    </row>
    <row r="1310" spans="3:4" ht="15" customHeight="1" x14ac:dyDescent="0.2">
      <c r="C1310" s="100"/>
      <c r="D1310" s="100"/>
    </row>
    <row r="1311" spans="3:4" ht="15" customHeight="1" x14ac:dyDescent="0.2">
      <c r="C1311" s="100"/>
      <c r="D1311" s="100"/>
    </row>
    <row r="1312" spans="3:4" ht="15" customHeight="1" x14ac:dyDescent="0.2">
      <c r="C1312" s="100"/>
      <c r="D1312" s="100"/>
    </row>
    <row r="1313" spans="3:4" ht="15" customHeight="1" x14ac:dyDescent="0.2">
      <c r="C1313" s="100"/>
      <c r="D1313" s="100"/>
    </row>
    <row r="1314" spans="3:4" ht="15" customHeight="1" x14ac:dyDescent="0.2">
      <c r="C1314" s="100"/>
      <c r="D1314" s="100"/>
    </row>
    <row r="1315" spans="3:4" ht="15" customHeight="1" x14ac:dyDescent="0.2">
      <c r="C1315" s="100"/>
      <c r="D1315" s="100"/>
    </row>
    <row r="1316" spans="3:4" ht="15" customHeight="1" x14ac:dyDescent="0.2">
      <c r="C1316" s="100"/>
      <c r="D1316" s="100"/>
    </row>
    <row r="1317" spans="3:4" ht="15" customHeight="1" x14ac:dyDescent="0.2">
      <c r="C1317" s="100"/>
      <c r="D1317" s="100"/>
    </row>
    <row r="1318" spans="3:4" ht="15" customHeight="1" x14ac:dyDescent="0.2">
      <c r="C1318" s="100"/>
      <c r="D1318" s="100"/>
    </row>
    <row r="1319" spans="3:4" ht="15" customHeight="1" x14ac:dyDescent="0.2">
      <c r="C1319" s="100"/>
      <c r="D1319" s="100"/>
    </row>
    <row r="1320" spans="3:4" ht="15" customHeight="1" x14ac:dyDescent="0.2">
      <c r="C1320" s="100"/>
      <c r="D1320" s="100"/>
    </row>
    <row r="1321" spans="3:4" ht="15" customHeight="1" x14ac:dyDescent="0.2">
      <c r="C1321" s="100"/>
      <c r="D1321" s="100"/>
    </row>
    <row r="1322" spans="3:4" ht="15" customHeight="1" x14ac:dyDescent="0.2">
      <c r="C1322" s="100"/>
      <c r="D1322" s="100"/>
    </row>
    <row r="1323" spans="3:4" ht="15" customHeight="1" x14ac:dyDescent="0.2">
      <c r="C1323" s="100"/>
      <c r="D1323" s="100"/>
    </row>
    <row r="1324" spans="3:4" ht="15" customHeight="1" x14ac:dyDescent="0.2">
      <c r="C1324" s="100"/>
      <c r="D1324" s="100"/>
    </row>
    <row r="1325" spans="3:4" ht="15" customHeight="1" x14ac:dyDescent="0.2">
      <c r="C1325" s="100"/>
      <c r="D1325" s="100"/>
    </row>
    <row r="1326" spans="3:4" ht="15" customHeight="1" x14ac:dyDescent="0.2">
      <c r="C1326" s="100"/>
      <c r="D1326" s="100"/>
    </row>
    <row r="1327" spans="3:4" ht="15" customHeight="1" x14ac:dyDescent="0.2">
      <c r="C1327" s="100"/>
      <c r="D1327" s="100"/>
    </row>
    <row r="1328" spans="3:4" ht="15" customHeight="1" x14ac:dyDescent="0.2">
      <c r="C1328" s="100"/>
      <c r="D1328" s="100"/>
    </row>
    <row r="1329" spans="3:4" ht="15" customHeight="1" x14ac:dyDescent="0.2">
      <c r="C1329" s="100"/>
      <c r="D1329" s="100"/>
    </row>
    <row r="1330" spans="3:4" ht="15" customHeight="1" x14ac:dyDescent="0.2">
      <c r="C1330" s="100"/>
      <c r="D1330" s="100"/>
    </row>
    <row r="1331" spans="3:4" ht="15" customHeight="1" x14ac:dyDescent="0.2">
      <c r="C1331" s="100"/>
      <c r="D1331" s="100"/>
    </row>
    <row r="1332" spans="3:4" ht="15" customHeight="1" x14ac:dyDescent="0.2">
      <c r="C1332" s="100"/>
      <c r="D1332" s="100"/>
    </row>
    <row r="1333" spans="3:4" ht="15" customHeight="1" x14ac:dyDescent="0.2">
      <c r="C1333" s="100"/>
      <c r="D1333" s="100"/>
    </row>
    <row r="1334" spans="3:4" ht="15" customHeight="1" x14ac:dyDescent="0.2">
      <c r="C1334" s="100"/>
      <c r="D1334" s="100"/>
    </row>
    <row r="1335" spans="3:4" ht="15" customHeight="1" x14ac:dyDescent="0.2">
      <c r="C1335" s="100"/>
      <c r="D1335" s="100"/>
    </row>
    <row r="1336" spans="3:4" ht="15" customHeight="1" x14ac:dyDescent="0.2">
      <c r="C1336" s="100"/>
      <c r="D1336" s="100"/>
    </row>
    <row r="1337" spans="3:4" ht="15" customHeight="1" x14ac:dyDescent="0.2">
      <c r="C1337" s="100"/>
      <c r="D1337" s="100"/>
    </row>
    <row r="1338" spans="3:4" ht="15" customHeight="1" x14ac:dyDescent="0.2">
      <c r="C1338" s="100"/>
      <c r="D1338" s="100"/>
    </row>
    <row r="1339" spans="3:4" ht="15" customHeight="1" x14ac:dyDescent="0.2">
      <c r="C1339" s="100"/>
      <c r="D1339" s="100"/>
    </row>
    <row r="1340" spans="3:4" ht="15" customHeight="1" x14ac:dyDescent="0.2">
      <c r="C1340" s="100"/>
      <c r="D1340" s="100"/>
    </row>
    <row r="1341" spans="3:4" ht="15" customHeight="1" x14ac:dyDescent="0.2">
      <c r="C1341" s="100"/>
      <c r="D1341" s="100"/>
    </row>
    <row r="1342" spans="3:4" ht="15" customHeight="1" x14ac:dyDescent="0.2">
      <c r="C1342" s="100"/>
      <c r="D1342" s="100"/>
    </row>
    <row r="1343" spans="3:4" ht="15" customHeight="1" x14ac:dyDescent="0.2">
      <c r="C1343" s="100"/>
      <c r="D1343" s="100"/>
    </row>
    <row r="1344" spans="3:4" ht="15" customHeight="1" x14ac:dyDescent="0.2">
      <c r="C1344" s="100"/>
      <c r="D1344" s="100"/>
    </row>
    <row r="1345" spans="3:4" ht="15" customHeight="1" x14ac:dyDescent="0.2">
      <c r="C1345" s="100"/>
      <c r="D1345" s="100"/>
    </row>
    <row r="1346" spans="3:4" ht="15" customHeight="1" x14ac:dyDescent="0.2">
      <c r="C1346" s="100"/>
      <c r="D1346" s="100"/>
    </row>
    <row r="1347" spans="3:4" ht="15" customHeight="1" x14ac:dyDescent="0.2">
      <c r="C1347" s="100"/>
      <c r="D1347" s="100"/>
    </row>
    <row r="1348" spans="3:4" ht="15" customHeight="1" x14ac:dyDescent="0.2">
      <c r="C1348" s="100"/>
      <c r="D1348" s="100"/>
    </row>
    <row r="1349" spans="3:4" ht="15" customHeight="1" x14ac:dyDescent="0.2">
      <c r="C1349" s="100"/>
      <c r="D1349" s="100"/>
    </row>
    <row r="1350" spans="3:4" ht="15" customHeight="1" x14ac:dyDescent="0.2">
      <c r="C1350" s="100"/>
      <c r="D1350" s="100"/>
    </row>
    <row r="1351" spans="3:4" ht="15" customHeight="1" x14ac:dyDescent="0.2">
      <c r="C1351" s="100"/>
      <c r="D1351" s="100"/>
    </row>
    <row r="1352" spans="3:4" ht="15" customHeight="1" x14ac:dyDescent="0.2">
      <c r="C1352" s="100"/>
      <c r="D1352" s="100"/>
    </row>
    <row r="1353" spans="3:4" ht="15" customHeight="1" x14ac:dyDescent="0.2">
      <c r="C1353" s="100"/>
      <c r="D1353" s="100"/>
    </row>
    <row r="1354" spans="3:4" ht="15" customHeight="1" x14ac:dyDescent="0.2">
      <c r="C1354" s="100"/>
      <c r="D1354" s="100"/>
    </row>
    <row r="1355" spans="3:4" ht="15" customHeight="1" x14ac:dyDescent="0.2">
      <c r="C1355" s="100"/>
      <c r="D1355" s="100"/>
    </row>
    <row r="1356" spans="3:4" ht="15" customHeight="1" x14ac:dyDescent="0.2">
      <c r="C1356" s="100"/>
      <c r="D1356" s="100"/>
    </row>
    <row r="1357" spans="3:4" ht="15" customHeight="1" x14ac:dyDescent="0.2">
      <c r="C1357" s="100"/>
      <c r="D1357" s="100"/>
    </row>
    <row r="1358" spans="3:4" ht="15" customHeight="1" x14ac:dyDescent="0.2">
      <c r="C1358" s="100"/>
      <c r="D1358" s="100"/>
    </row>
    <row r="1359" spans="3:4" ht="15" customHeight="1" x14ac:dyDescent="0.2">
      <c r="C1359" s="100"/>
      <c r="D1359" s="100"/>
    </row>
    <row r="1360" spans="3:4" ht="15" customHeight="1" x14ac:dyDescent="0.2">
      <c r="C1360" s="100"/>
      <c r="D1360" s="100"/>
    </row>
    <row r="1361" spans="3:4" ht="15" customHeight="1" x14ac:dyDescent="0.2">
      <c r="C1361" s="100"/>
      <c r="D1361" s="100"/>
    </row>
    <row r="1362" spans="3:4" ht="15" customHeight="1" x14ac:dyDescent="0.2">
      <c r="C1362" s="100"/>
      <c r="D1362" s="100"/>
    </row>
    <row r="1363" spans="3:4" ht="15" customHeight="1" x14ac:dyDescent="0.2">
      <c r="C1363" s="100"/>
      <c r="D1363" s="100"/>
    </row>
    <row r="1364" spans="3:4" ht="15" customHeight="1" x14ac:dyDescent="0.2">
      <c r="C1364" s="100"/>
      <c r="D1364" s="100"/>
    </row>
    <row r="1365" spans="3:4" ht="15" customHeight="1" x14ac:dyDescent="0.2">
      <c r="C1365" s="100"/>
      <c r="D1365" s="100"/>
    </row>
    <row r="1366" spans="3:4" ht="15" customHeight="1" x14ac:dyDescent="0.2">
      <c r="C1366" s="100"/>
      <c r="D1366" s="100"/>
    </row>
    <row r="1367" spans="3:4" ht="15" customHeight="1" x14ac:dyDescent="0.2">
      <c r="C1367" s="100"/>
      <c r="D1367" s="100"/>
    </row>
    <row r="1368" spans="3:4" ht="15" customHeight="1" x14ac:dyDescent="0.2">
      <c r="C1368" s="100"/>
      <c r="D1368" s="100"/>
    </row>
    <row r="1369" spans="3:4" ht="15" customHeight="1" x14ac:dyDescent="0.2">
      <c r="C1369" s="100"/>
      <c r="D1369" s="100"/>
    </row>
    <row r="1370" spans="3:4" ht="15" customHeight="1" x14ac:dyDescent="0.2">
      <c r="C1370" s="100"/>
      <c r="D1370" s="100"/>
    </row>
    <row r="1371" spans="3:4" ht="15" customHeight="1" x14ac:dyDescent="0.2">
      <c r="C1371" s="100"/>
      <c r="D1371" s="100"/>
    </row>
    <row r="1372" spans="3:4" ht="15" customHeight="1" x14ac:dyDescent="0.2">
      <c r="C1372" s="100"/>
      <c r="D1372" s="100"/>
    </row>
    <row r="1373" spans="3:4" ht="15" customHeight="1" x14ac:dyDescent="0.2">
      <c r="C1373" s="100"/>
      <c r="D1373" s="100"/>
    </row>
    <row r="1374" spans="3:4" ht="15" customHeight="1" x14ac:dyDescent="0.2">
      <c r="C1374" s="100"/>
      <c r="D1374" s="100"/>
    </row>
    <row r="1375" spans="3:4" ht="15" customHeight="1" x14ac:dyDescent="0.2">
      <c r="C1375" s="100"/>
      <c r="D1375" s="100"/>
    </row>
    <row r="1376" spans="3:4" ht="15" customHeight="1" x14ac:dyDescent="0.2">
      <c r="C1376" s="100"/>
      <c r="D1376" s="100"/>
    </row>
    <row r="1377" spans="3:4" ht="15" customHeight="1" x14ac:dyDescent="0.2">
      <c r="C1377" s="100"/>
      <c r="D1377" s="100"/>
    </row>
    <row r="1378" spans="3:4" ht="15" customHeight="1" x14ac:dyDescent="0.2">
      <c r="C1378" s="100"/>
      <c r="D1378" s="100"/>
    </row>
    <row r="1379" spans="3:4" ht="15" customHeight="1" x14ac:dyDescent="0.2">
      <c r="C1379" s="100"/>
      <c r="D1379" s="100"/>
    </row>
    <row r="1380" spans="3:4" ht="15" customHeight="1" x14ac:dyDescent="0.2">
      <c r="C1380" s="100"/>
      <c r="D1380" s="100"/>
    </row>
    <row r="1381" spans="3:4" ht="15" customHeight="1" x14ac:dyDescent="0.2">
      <c r="C1381" s="100"/>
      <c r="D1381" s="100"/>
    </row>
    <row r="1382" spans="3:4" ht="15" customHeight="1" x14ac:dyDescent="0.2">
      <c r="C1382" s="100"/>
      <c r="D1382" s="100"/>
    </row>
    <row r="1383" spans="3:4" ht="15" customHeight="1" x14ac:dyDescent="0.2">
      <c r="C1383" s="100"/>
      <c r="D1383" s="100"/>
    </row>
    <row r="1384" spans="3:4" ht="15" customHeight="1" x14ac:dyDescent="0.2">
      <c r="C1384" s="100"/>
      <c r="D1384" s="100"/>
    </row>
    <row r="1385" spans="3:4" ht="15" customHeight="1" x14ac:dyDescent="0.2">
      <c r="C1385" s="100"/>
      <c r="D1385" s="100"/>
    </row>
    <row r="1386" spans="3:4" ht="15" customHeight="1" x14ac:dyDescent="0.2">
      <c r="C1386" s="100"/>
      <c r="D1386" s="100"/>
    </row>
    <row r="1387" spans="3:4" ht="15" customHeight="1" x14ac:dyDescent="0.2">
      <c r="C1387" s="100"/>
      <c r="D1387" s="100"/>
    </row>
    <row r="1388" spans="3:4" ht="15" customHeight="1" x14ac:dyDescent="0.2">
      <c r="C1388" s="100"/>
      <c r="D1388" s="100"/>
    </row>
    <row r="1389" spans="3:4" ht="15" customHeight="1" x14ac:dyDescent="0.2">
      <c r="C1389" s="100"/>
      <c r="D1389" s="100"/>
    </row>
    <row r="1390" spans="3:4" ht="15" customHeight="1" x14ac:dyDescent="0.2">
      <c r="C1390" s="100"/>
      <c r="D1390" s="100"/>
    </row>
    <row r="1391" spans="3:4" ht="15" customHeight="1" x14ac:dyDescent="0.2">
      <c r="C1391" s="100"/>
      <c r="D1391" s="100"/>
    </row>
    <row r="1392" spans="3:4" ht="15" customHeight="1" x14ac:dyDescent="0.2">
      <c r="C1392" s="100"/>
      <c r="D1392" s="100"/>
    </row>
    <row r="1393" spans="3:4" ht="15" customHeight="1" x14ac:dyDescent="0.2">
      <c r="C1393" s="100"/>
      <c r="D1393" s="100"/>
    </row>
    <row r="1394" spans="3:4" ht="15" customHeight="1" x14ac:dyDescent="0.2">
      <c r="C1394" s="100"/>
      <c r="D1394" s="100"/>
    </row>
    <row r="1395" spans="3:4" ht="15" customHeight="1" x14ac:dyDescent="0.2">
      <c r="C1395" s="100"/>
      <c r="D1395" s="100"/>
    </row>
    <row r="1396" spans="3:4" ht="15" customHeight="1" x14ac:dyDescent="0.2">
      <c r="C1396" s="100"/>
      <c r="D1396" s="100"/>
    </row>
    <row r="1397" spans="3:4" ht="15" customHeight="1" x14ac:dyDescent="0.2">
      <c r="C1397" s="100"/>
      <c r="D1397" s="100"/>
    </row>
    <row r="1398" spans="3:4" ht="15" customHeight="1" x14ac:dyDescent="0.2">
      <c r="C1398" s="100"/>
      <c r="D1398" s="100"/>
    </row>
    <row r="1399" spans="3:4" ht="15" customHeight="1" x14ac:dyDescent="0.2">
      <c r="C1399" s="100"/>
      <c r="D1399" s="100"/>
    </row>
    <row r="1400" spans="3:4" ht="15" customHeight="1" x14ac:dyDescent="0.2">
      <c r="C1400" s="100"/>
      <c r="D1400" s="100"/>
    </row>
    <row r="1401" spans="3:4" ht="15" customHeight="1" x14ac:dyDescent="0.2">
      <c r="C1401" s="100"/>
      <c r="D1401" s="100"/>
    </row>
    <row r="1402" spans="3:4" ht="15" customHeight="1" x14ac:dyDescent="0.2">
      <c r="C1402" s="100"/>
      <c r="D1402" s="100"/>
    </row>
    <row r="1403" spans="3:4" ht="15" customHeight="1" x14ac:dyDescent="0.2">
      <c r="C1403" s="100"/>
      <c r="D1403" s="100"/>
    </row>
    <row r="1404" spans="3:4" ht="15" customHeight="1" x14ac:dyDescent="0.2">
      <c r="C1404" s="100"/>
      <c r="D1404" s="100"/>
    </row>
    <row r="1405" spans="3:4" ht="15" customHeight="1" x14ac:dyDescent="0.2">
      <c r="C1405" s="100"/>
      <c r="D1405" s="100"/>
    </row>
    <row r="1406" spans="3:4" ht="15" customHeight="1" x14ac:dyDescent="0.2">
      <c r="C1406" s="100"/>
      <c r="D1406" s="100"/>
    </row>
    <row r="1407" spans="3:4" ht="15" customHeight="1" x14ac:dyDescent="0.2">
      <c r="C1407" s="100"/>
      <c r="D1407" s="100"/>
    </row>
    <row r="1408" spans="3:4" ht="15" customHeight="1" x14ac:dyDescent="0.2">
      <c r="C1408" s="100"/>
      <c r="D1408" s="100"/>
    </row>
    <row r="1409" spans="3:4" ht="15" customHeight="1" x14ac:dyDescent="0.2">
      <c r="C1409" s="100"/>
      <c r="D1409" s="100"/>
    </row>
    <row r="1410" spans="3:4" ht="15" customHeight="1" x14ac:dyDescent="0.2">
      <c r="C1410" s="100"/>
      <c r="D1410" s="100"/>
    </row>
    <row r="1411" spans="3:4" ht="15" customHeight="1" x14ac:dyDescent="0.2">
      <c r="C1411" s="100"/>
      <c r="D1411" s="100"/>
    </row>
    <row r="1412" spans="3:4" ht="15" customHeight="1" x14ac:dyDescent="0.2">
      <c r="C1412" s="100"/>
      <c r="D1412" s="100"/>
    </row>
    <row r="1413" spans="3:4" ht="15" customHeight="1" x14ac:dyDescent="0.2">
      <c r="C1413" s="100"/>
      <c r="D1413" s="100"/>
    </row>
    <row r="1414" spans="3:4" ht="15" customHeight="1" x14ac:dyDescent="0.2">
      <c r="C1414" s="100"/>
      <c r="D1414" s="100"/>
    </row>
    <row r="1415" spans="3:4" ht="15" customHeight="1" x14ac:dyDescent="0.2">
      <c r="C1415" s="100"/>
      <c r="D1415" s="100"/>
    </row>
    <row r="1416" spans="3:4" ht="15" customHeight="1" x14ac:dyDescent="0.2">
      <c r="C1416" s="100"/>
      <c r="D1416" s="100"/>
    </row>
    <row r="1417" spans="3:4" ht="15" customHeight="1" x14ac:dyDescent="0.2">
      <c r="C1417" s="100"/>
      <c r="D1417" s="100"/>
    </row>
    <row r="1418" spans="3:4" ht="15" customHeight="1" x14ac:dyDescent="0.2">
      <c r="C1418" s="100"/>
      <c r="D1418" s="100"/>
    </row>
    <row r="1419" spans="3:4" ht="15" customHeight="1" x14ac:dyDescent="0.2">
      <c r="C1419" s="100"/>
      <c r="D1419" s="100"/>
    </row>
    <row r="1420" spans="3:4" ht="15" customHeight="1" x14ac:dyDescent="0.2">
      <c r="C1420" s="100"/>
      <c r="D1420" s="100"/>
    </row>
    <row r="1421" spans="3:4" ht="15" customHeight="1" x14ac:dyDescent="0.2">
      <c r="C1421" s="100"/>
      <c r="D1421" s="100"/>
    </row>
    <row r="1422" spans="3:4" ht="15" customHeight="1" x14ac:dyDescent="0.2">
      <c r="C1422" s="100"/>
      <c r="D1422" s="100"/>
    </row>
    <row r="1423" spans="3:4" ht="15" customHeight="1" x14ac:dyDescent="0.2">
      <c r="C1423" s="100"/>
      <c r="D1423" s="100"/>
    </row>
    <row r="1424" spans="3:4" ht="15" customHeight="1" x14ac:dyDescent="0.2">
      <c r="C1424" s="100"/>
      <c r="D1424" s="100"/>
    </row>
    <row r="1425" spans="3:4" ht="15" customHeight="1" x14ac:dyDescent="0.2">
      <c r="C1425" s="100"/>
      <c r="D1425" s="100"/>
    </row>
    <row r="1426" spans="3:4" ht="15" customHeight="1" x14ac:dyDescent="0.2">
      <c r="C1426" s="100"/>
      <c r="D1426" s="100"/>
    </row>
    <row r="1427" spans="3:4" ht="15" customHeight="1" x14ac:dyDescent="0.2">
      <c r="C1427" s="100"/>
      <c r="D1427" s="100"/>
    </row>
    <row r="1428" spans="3:4" ht="15" customHeight="1" x14ac:dyDescent="0.2">
      <c r="C1428" s="100"/>
      <c r="D1428" s="100"/>
    </row>
    <row r="1429" spans="3:4" ht="15" customHeight="1" x14ac:dyDescent="0.2">
      <c r="C1429" s="100"/>
      <c r="D1429" s="100"/>
    </row>
    <row r="1430" spans="3:4" ht="15" customHeight="1" x14ac:dyDescent="0.2">
      <c r="C1430" s="100"/>
      <c r="D1430" s="100"/>
    </row>
    <row r="1431" spans="3:4" ht="15" customHeight="1" x14ac:dyDescent="0.2">
      <c r="C1431" s="100"/>
      <c r="D1431" s="100"/>
    </row>
    <row r="1432" spans="3:4" ht="15" customHeight="1" x14ac:dyDescent="0.2">
      <c r="C1432" s="100"/>
      <c r="D1432" s="100"/>
    </row>
    <row r="1433" spans="3:4" ht="15" customHeight="1" x14ac:dyDescent="0.2">
      <c r="C1433" s="100"/>
      <c r="D1433" s="100"/>
    </row>
    <row r="1434" spans="3:4" ht="15" customHeight="1" x14ac:dyDescent="0.2">
      <c r="C1434" s="100"/>
      <c r="D1434" s="100"/>
    </row>
    <row r="1435" spans="3:4" ht="15" customHeight="1" x14ac:dyDescent="0.2">
      <c r="C1435" s="100"/>
      <c r="D1435" s="100"/>
    </row>
    <row r="1436" spans="3:4" ht="15" customHeight="1" x14ac:dyDescent="0.2">
      <c r="C1436" s="100"/>
      <c r="D1436" s="100"/>
    </row>
    <row r="1437" spans="3:4" ht="15" customHeight="1" x14ac:dyDescent="0.2">
      <c r="C1437" s="100"/>
      <c r="D1437" s="100"/>
    </row>
    <row r="1438" spans="3:4" ht="15" customHeight="1" x14ac:dyDescent="0.2">
      <c r="C1438" s="100"/>
      <c r="D1438" s="100"/>
    </row>
    <row r="1439" spans="3:4" ht="15" customHeight="1" x14ac:dyDescent="0.2">
      <c r="C1439" s="100"/>
      <c r="D1439" s="100"/>
    </row>
    <row r="1440" spans="3:4" ht="15" customHeight="1" x14ac:dyDescent="0.2">
      <c r="C1440" s="100"/>
      <c r="D1440" s="100"/>
    </row>
    <row r="1441" spans="3:4" ht="15" customHeight="1" x14ac:dyDescent="0.2">
      <c r="C1441" s="100"/>
      <c r="D1441" s="100"/>
    </row>
    <row r="1442" spans="3:4" ht="15" customHeight="1" x14ac:dyDescent="0.2">
      <c r="C1442" s="100"/>
      <c r="D1442" s="100"/>
    </row>
    <row r="1443" spans="3:4" ht="15" customHeight="1" x14ac:dyDescent="0.2">
      <c r="C1443" s="100"/>
      <c r="D1443" s="100"/>
    </row>
    <row r="1444" spans="3:4" ht="15" customHeight="1" x14ac:dyDescent="0.2">
      <c r="C1444" s="100"/>
      <c r="D1444" s="100"/>
    </row>
    <row r="1445" spans="3:4" ht="15" customHeight="1" x14ac:dyDescent="0.2">
      <c r="C1445" s="100"/>
      <c r="D1445" s="100"/>
    </row>
    <row r="1446" spans="3:4" ht="15" customHeight="1" x14ac:dyDescent="0.2">
      <c r="C1446" s="100"/>
      <c r="D1446" s="100"/>
    </row>
    <row r="1447" spans="3:4" ht="15" customHeight="1" x14ac:dyDescent="0.2">
      <c r="C1447" s="100"/>
      <c r="D1447" s="100"/>
    </row>
    <row r="1448" spans="3:4" ht="15" customHeight="1" x14ac:dyDescent="0.2">
      <c r="C1448" s="100"/>
      <c r="D1448" s="100"/>
    </row>
    <row r="1449" spans="3:4" ht="15" customHeight="1" x14ac:dyDescent="0.2">
      <c r="C1449" s="100"/>
      <c r="D1449" s="100"/>
    </row>
    <row r="1450" spans="3:4" ht="15" customHeight="1" x14ac:dyDescent="0.2">
      <c r="C1450" s="100"/>
      <c r="D1450" s="100"/>
    </row>
    <row r="1451" spans="3:4" ht="15" customHeight="1" x14ac:dyDescent="0.2">
      <c r="C1451" s="100"/>
      <c r="D1451" s="100"/>
    </row>
    <row r="1452" spans="3:4" ht="15" customHeight="1" x14ac:dyDescent="0.2">
      <c r="C1452" s="100"/>
      <c r="D1452" s="100"/>
    </row>
    <row r="1453" spans="3:4" ht="15" customHeight="1" x14ac:dyDescent="0.2">
      <c r="C1453" s="100"/>
      <c r="D1453" s="100"/>
    </row>
    <row r="1454" spans="3:4" ht="15" customHeight="1" x14ac:dyDescent="0.2">
      <c r="C1454" s="100"/>
      <c r="D1454" s="100"/>
    </row>
    <row r="1455" spans="3:4" ht="15" customHeight="1" x14ac:dyDescent="0.2">
      <c r="C1455" s="100"/>
      <c r="D1455" s="100"/>
    </row>
    <row r="1456" spans="3:4" ht="15" customHeight="1" x14ac:dyDescent="0.2">
      <c r="C1456" s="100"/>
      <c r="D1456" s="100"/>
    </row>
    <row r="1457" spans="3:4" ht="15" customHeight="1" x14ac:dyDescent="0.2">
      <c r="C1457" s="100"/>
      <c r="D1457" s="100"/>
    </row>
    <row r="1458" spans="3:4" ht="15" customHeight="1" x14ac:dyDescent="0.2">
      <c r="C1458" s="100"/>
      <c r="D1458" s="100"/>
    </row>
    <row r="1459" spans="3:4" ht="15" customHeight="1" x14ac:dyDescent="0.2">
      <c r="C1459" s="100"/>
      <c r="D1459" s="100"/>
    </row>
    <row r="1460" spans="3:4" ht="15" customHeight="1" x14ac:dyDescent="0.2">
      <c r="C1460" s="100"/>
      <c r="D1460" s="100"/>
    </row>
    <row r="1461" spans="3:4" ht="15" customHeight="1" x14ac:dyDescent="0.2">
      <c r="C1461" s="100"/>
      <c r="D1461" s="100"/>
    </row>
    <row r="1462" spans="3:4" ht="15" customHeight="1" x14ac:dyDescent="0.2">
      <c r="C1462" s="100"/>
      <c r="D1462" s="100"/>
    </row>
    <row r="1463" spans="3:4" ht="15" customHeight="1" x14ac:dyDescent="0.2">
      <c r="C1463" s="100"/>
      <c r="D1463" s="100"/>
    </row>
    <row r="1464" spans="3:4" ht="15" customHeight="1" x14ac:dyDescent="0.2">
      <c r="C1464" s="100"/>
      <c r="D1464" s="100"/>
    </row>
    <row r="1465" spans="3:4" ht="15" customHeight="1" x14ac:dyDescent="0.2">
      <c r="C1465" s="100"/>
      <c r="D1465" s="100"/>
    </row>
    <row r="1466" spans="3:4" ht="15" customHeight="1" x14ac:dyDescent="0.2">
      <c r="C1466" s="100"/>
      <c r="D1466" s="100"/>
    </row>
    <row r="1467" spans="3:4" ht="15" customHeight="1" x14ac:dyDescent="0.2">
      <c r="C1467" s="100"/>
      <c r="D1467" s="100"/>
    </row>
    <row r="1468" spans="3:4" ht="15" customHeight="1" x14ac:dyDescent="0.2">
      <c r="C1468" s="100"/>
      <c r="D1468" s="100"/>
    </row>
    <row r="1469" spans="3:4" ht="15" customHeight="1" x14ac:dyDescent="0.2">
      <c r="C1469" s="100"/>
      <c r="D1469" s="100"/>
    </row>
    <row r="1470" spans="3:4" ht="15" customHeight="1" x14ac:dyDescent="0.2">
      <c r="C1470" s="100"/>
      <c r="D1470" s="100"/>
    </row>
    <row r="1471" spans="3:4" ht="15" customHeight="1" x14ac:dyDescent="0.2">
      <c r="C1471" s="100"/>
      <c r="D1471" s="100"/>
    </row>
    <row r="1472" spans="3:4" ht="15" customHeight="1" x14ac:dyDescent="0.2">
      <c r="C1472" s="100"/>
      <c r="D1472" s="100"/>
    </row>
    <row r="1473" spans="3:4" ht="15" customHeight="1" x14ac:dyDescent="0.2">
      <c r="C1473" s="100"/>
      <c r="D1473" s="100"/>
    </row>
    <row r="1474" spans="3:4" ht="15" customHeight="1" x14ac:dyDescent="0.2">
      <c r="C1474" s="100"/>
      <c r="D1474" s="100"/>
    </row>
    <row r="1475" spans="3:4" ht="15" customHeight="1" x14ac:dyDescent="0.2">
      <c r="C1475" s="100"/>
      <c r="D1475" s="100"/>
    </row>
    <row r="1476" spans="3:4" ht="15" customHeight="1" x14ac:dyDescent="0.2">
      <c r="C1476" s="100"/>
      <c r="D1476" s="100"/>
    </row>
    <row r="1477" spans="3:4" ht="15" customHeight="1" x14ac:dyDescent="0.2">
      <c r="C1477" s="100"/>
      <c r="D1477" s="100"/>
    </row>
    <row r="1478" spans="3:4" ht="15" customHeight="1" x14ac:dyDescent="0.2">
      <c r="C1478" s="100"/>
      <c r="D1478" s="100"/>
    </row>
    <row r="1479" spans="3:4" ht="15" customHeight="1" x14ac:dyDescent="0.2">
      <c r="C1479" s="100"/>
      <c r="D1479" s="100"/>
    </row>
    <row r="1480" spans="3:4" ht="15" customHeight="1" x14ac:dyDescent="0.2">
      <c r="C1480" s="100"/>
      <c r="D1480" s="100"/>
    </row>
    <row r="1481" spans="3:4" ht="15" customHeight="1" x14ac:dyDescent="0.2">
      <c r="C1481" s="100"/>
      <c r="D1481" s="100"/>
    </row>
    <row r="1482" spans="3:4" ht="15" customHeight="1" x14ac:dyDescent="0.2">
      <c r="C1482" s="100"/>
      <c r="D1482" s="100"/>
    </row>
    <row r="1483" spans="3:4" ht="15" customHeight="1" x14ac:dyDescent="0.2">
      <c r="C1483" s="100"/>
      <c r="D1483" s="100"/>
    </row>
    <row r="1484" spans="3:4" ht="15" customHeight="1" x14ac:dyDescent="0.2">
      <c r="C1484" s="100"/>
      <c r="D1484" s="100"/>
    </row>
    <row r="1485" spans="3:4" ht="15" customHeight="1" x14ac:dyDescent="0.2">
      <c r="C1485" s="100"/>
      <c r="D1485" s="100"/>
    </row>
    <row r="1486" spans="3:4" ht="15" customHeight="1" x14ac:dyDescent="0.2">
      <c r="C1486" s="100"/>
      <c r="D1486" s="100"/>
    </row>
    <row r="1487" spans="3:4" ht="15" customHeight="1" x14ac:dyDescent="0.2">
      <c r="C1487" s="100"/>
      <c r="D1487" s="100"/>
    </row>
    <row r="1488" spans="3:4" ht="15" customHeight="1" x14ac:dyDescent="0.2">
      <c r="C1488" s="100"/>
      <c r="D1488" s="100"/>
    </row>
    <row r="1489" spans="3:4" ht="15" customHeight="1" x14ac:dyDescent="0.2">
      <c r="C1489" s="100"/>
      <c r="D1489" s="100"/>
    </row>
    <row r="1490" spans="3:4" ht="15" customHeight="1" x14ac:dyDescent="0.2">
      <c r="C1490" s="100"/>
      <c r="D1490" s="100"/>
    </row>
    <row r="1491" spans="3:4" ht="15" customHeight="1" x14ac:dyDescent="0.2">
      <c r="C1491" s="100"/>
      <c r="D1491" s="100"/>
    </row>
    <row r="1492" spans="3:4" ht="15" customHeight="1" x14ac:dyDescent="0.2">
      <c r="C1492" s="100"/>
      <c r="D1492" s="100"/>
    </row>
    <row r="1493" spans="3:4" ht="15" customHeight="1" x14ac:dyDescent="0.2">
      <c r="C1493" s="100"/>
      <c r="D1493" s="100"/>
    </row>
    <row r="1494" spans="3:4" ht="15" customHeight="1" x14ac:dyDescent="0.2">
      <c r="C1494" s="100"/>
      <c r="D1494" s="100"/>
    </row>
    <row r="1495" spans="3:4" ht="15" customHeight="1" x14ac:dyDescent="0.2">
      <c r="C1495" s="100"/>
      <c r="D1495" s="100"/>
    </row>
    <row r="1496" spans="3:4" ht="15" customHeight="1" x14ac:dyDescent="0.2">
      <c r="C1496" s="100"/>
      <c r="D1496" s="100"/>
    </row>
    <row r="1497" spans="3:4" ht="15" customHeight="1" x14ac:dyDescent="0.2">
      <c r="C1497" s="100"/>
      <c r="D1497" s="100"/>
    </row>
    <row r="1498" spans="3:4" ht="15" customHeight="1" x14ac:dyDescent="0.2">
      <c r="C1498" s="100"/>
      <c r="D1498" s="100"/>
    </row>
    <row r="1499" spans="3:4" ht="15" customHeight="1" x14ac:dyDescent="0.2">
      <c r="C1499" s="100"/>
      <c r="D1499" s="100"/>
    </row>
    <row r="1500" spans="3:4" ht="15" customHeight="1" x14ac:dyDescent="0.2">
      <c r="C1500" s="100"/>
      <c r="D1500" s="100"/>
    </row>
    <row r="1501" spans="3:4" ht="15" customHeight="1" x14ac:dyDescent="0.2">
      <c r="C1501" s="100"/>
      <c r="D1501" s="100"/>
    </row>
    <row r="1502" spans="3:4" ht="15" customHeight="1" x14ac:dyDescent="0.2">
      <c r="C1502" s="100"/>
      <c r="D1502" s="100"/>
    </row>
    <row r="1503" spans="3:4" ht="15" customHeight="1" x14ac:dyDescent="0.2">
      <c r="C1503" s="100"/>
      <c r="D1503" s="100"/>
    </row>
    <row r="1504" spans="3:4" ht="15" customHeight="1" x14ac:dyDescent="0.2">
      <c r="C1504" s="100"/>
      <c r="D1504" s="100"/>
    </row>
    <row r="1505" spans="3:4" ht="15" customHeight="1" x14ac:dyDescent="0.2">
      <c r="C1505" s="100"/>
      <c r="D1505" s="100"/>
    </row>
    <row r="1506" spans="3:4" ht="15" customHeight="1" x14ac:dyDescent="0.2">
      <c r="C1506" s="100"/>
      <c r="D1506" s="100"/>
    </row>
    <row r="1507" spans="3:4" ht="15" customHeight="1" x14ac:dyDescent="0.2">
      <c r="C1507" s="100"/>
      <c r="D1507" s="100"/>
    </row>
    <row r="1508" spans="3:4" ht="15" customHeight="1" x14ac:dyDescent="0.2">
      <c r="C1508" s="100"/>
      <c r="D1508" s="100"/>
    </row>
    <row r="1509" spans="3:4" ht="15" customHeight="1" x14ac:dyDescent="0.2">
      <c r="C1509" s="100"/>
      <c r="D1509" s="100"/>
    </row>
    <row r="1510" spans="3:4" ht="15" customHeight="1" x14ac:dyDescent="0.2">
      <c r="C1510" s="100"/>
      <c r="D1510" s="100"/>
    </row>
    <row r="1511" spans="3:4" ht="15" customHeight="1" x14ac:dyDescent="0.2">
      <c r="C1511" s="100"/>
      <c r="D1511" s="100"/>
    </row>
    <row r="1512" spans="3:4" ht="15" customHeight="1" x14ac:dyDescent="0.2">
      <c r="C1512" s="100"/>
      <c r="D1512" s="100"/>
    </row>
    <row r="1513" spans="3:4" ht="15" customHeight="1" x14ac:dyDescent="0.2">
      <c r="C1513" s="100"/>
      <c r="D1513" s="100"/>
    </row>
    <row r="1514" spans="3:4" ht="15" customHeight="1" x14ac:dyDescent="0.2">
      <c r="C1514" s="100"/>
      <c r="D1514" s="100"/>
    </row>
    <row r="1515" spans="3:4" ht="15" customHeight="1" x14ac:dyDescent="0.2">
      <c r="C1515" s="100"/>
      <c r="D1515" s="100"/>
    </row>
    <row r="1516" spans="3:4" ht="15" customHeight="1" x14ac:dyDescent="0.2">
      <c r="C1516" s="100"/>
      <c r="D1516" s="100"/>
    </row>
    <row r="1517" spans="3:4" ht="15" customHeight="1" x14ac:dyDescent="0.2">
      <c r="C1517" s="100"/>
      <c r="D1517" s="100"/>
    </row>
    <row r="1518" spans="3:4" ht="15" customHeight="1" x14ac:dyDescent="0.2">
      <c r="C1518" s="100"/>
      <c r="D1518" s="100"/>
    </row>
    <row r="1519" spans="3:4" ht="15" customHeight="1" x14ac:dyDescent="0.2">
      <c r="C1519" s="100"/>
      <c r="D1519" s="100"/>
    </row>
    <row r="1520" spans="3:4" ht="15" customHeight="1" x14ac:dyDescent="0.2">
      <c r="C1520" s="100"/>
      <c r="D1520" s="100"/>
    </row>
    <row r="1521" spans="3:4" ht="15" customHeight="1" x14ac:dyDescent="0.2">
      <c r="C1521" s="100"/>
      <c r="D1521" s="100"/>
    </row>
    <row r="1522" spans="3:4" ht="15" customHeight="1" x14ac:dyDescent="0.2">
      <c r="C1522" s="100"/>
      <c r="D1522" s="100"/>
    </row>
    <row r="1523" spans="3:4" ht="15" customHeight="1" x14ac:dyDescent="0.2">
      <c r="C1523" s="100"/>
      <c r="D1523" s="100"/>
    </row>
    <row r="1524" spans="3:4" ht="15" customHeight="1" x14ac:dyDescent="0.2">
      <c r="C1524" s="100"/>
      <c r="D1524" s="100"/>
    </row>
    <row r="1525" spans="3:4" ht="15" customHeight="1" x14ac:dyDescent="0.2">
      <c r="C1525" s="100"/>
      <c r="D1525" s="100"/>
    </row>
    <row r="1526" spans="3:4" ht="15" customHeight="1" x14ac:dyDescent="0.2">
      <c r="C1526" s="100"/>
      <c r="D1526" s="100"/>
    </row>
    <row r="1527" spans="3:4" ht="15" customHeight="1" x14ac:dyDescent="0.2">
      <c r="C1527" s="100"/>
      <c r="D1527" s="100"/>
    </row>
    <row r="1528" spans="3:4" ht="15" customHeight="1" x14ac:dyDescent="0.2">
      <c r="C1528" s="100"/>
      <c r="D1528" s="100"/>
    </row>
    <row r="1529" spans="3:4" ht="15" customHeight="1" x14ac:dyDescent="0.2">
      <c r="C1529" s="100"/>
      <c r="D1529" s="100"/>
    </row>
    <row r="1530" spans="3:4" ht="15" customHeight="1" x14ac:dyDescent="0.2">
      <c r="C1530" s="100"/>
      <c r="D1530" s="100"/>
    </row>
    <row r="1531" spans="3:4" ht="15" customHeight="1" x14ac:dyDescent="0.2">
      <c r="C1531" s="100"/>
      <c r="D1531" s="100"/>
    </row>
    <row r="1532" spans="3:4" ht="15" customHeight="1" x14ac:dyDescent="0.2">
      <c r="C1532" s="100"/>
      <c r="D1532" s="100"/>
    </row>
    <row r="1533" spans="3:4" ht="15" customHeight="1" x14ac:dyDescent="0.2">
      <c r="C1533" s="100"/>
      <c r="D1533" s="100"/>
    </row>
    <row r="1534" spans="3:4" ht="15" customHeight="1" x14ac:dyDescent="0.2">
      <c r="C1534" s="100"/>
      <c r="D1534" s="100"/>
    </row>
    <row r="1535" spans="3:4" ht="15" customHeight="1" x14ac:dyDescent="0.2">
      <c r="C1535" s="100"/>
      <c r="D1535" s="100"/>
    </row>
    <row r="1536" spans="3:4" ht="15" customHeight="1" x14ac:dyDescent="0.2">
      <c r="C1536" s="100"/>
      <c r="D1536" s="100"/>
    </row>
    <row r="1537" spans="3:4" ht="15" customHeight="1" x14ac:dyDescent="0.2">
      <c r="C1537" s="100"/>
      <c r="D1537" s="100"/>
    </row>
    <row r="1538" spans="3:4" ht="15" customHeight="1" x14ac:dyDescent="0.2">
      <c r="C1538" s="100"/>
      <c r="D1538" s="100"/>
    </row>
    <row r="1539" spans="3:4" ht="15" customHeight="1" x14ac:dyDescent="0.2">
      <c r="C1539" s="100"/>
      <c r="D1539" s="100"/>
    </row>
    <row r="1540" spans="3:4" ht="15" customHeight="1" x14ac:dyDescent="0.2">
      <c r="C1540" s="100"/>
      <c r="D1540" s="100"/>
    </row>
    <row r="1541" spans="3:4" ht="15" customHeight="1" x14ac:dyDescent="0.2">
      <c r="C1541" s="100"/>
      <c r="D1541" s="100"/>
    </row>
    <row r="1542" spans="3:4" ht="15" customHeight="1" x14ac:dyDescent="0.2">
      <c r="C1542" s="100"/>
      <c r="D1542" s="100"/>
    </row>
    <row r="1543" spans="3:4" ht="15" customHeight="1" x14ac:dyDescent="0.2">
      <c r="C1543" s="100"/>
      <c r="D1543" s="100"/>
    </row>
    <row r="1544" spans="3:4" ht="15" customHeight="1" x14ac:dyDescent="0.2">
      <c r="C1544" s="100"/>
      <c r="D1544" s="100"/>
    </row>
    <row r="1545" spans="3:4" ht="15" customHeight="1" x14ac:dyDescent="0.2">
      <c r="C1545" s="100"/>
      <c r="D1545" s="100"/>
    </row>
    <row r="1546" spans="3:4" ht="15" customHeight="1" x14ac:dyDescent="0.2">
      <c r="C1546" s="100"/>
      <c r="D1546" s="100"/>
    </row>
    <row r="1547" spans="3:4" ht="15" customHeight="1" x14ac:dyDescent="0.2">
      <c r="C1547" s="100"/>
      <c r="D1547" s="100"/>
    </row>
    <row r="1548" spans="3:4" ht="15" customHeight="1" x14ac:dyDescent="0.2">
      <c r="C1548" s="100"/>
      <c r="D1548" s="100"/>
    </row>
    <row r="1549" spans="3:4" ht="15" customHeight="1" x14ac:dyDescent="0.2">
      <c r="C1549" s="100"/>
      <c r="D1549" s="100"/>
    </row>
    <row r="1550" spans="3:4" ht="15" customHeight="1" x14ac:dyDescent="0.2">
      <c r="C1550" s="100"/>
      <c r="D1550" s="100"/>
    </row>
    <row r="1551" spans="3:4" ht="15" customHeight="1" x14ac:dyDescent="0.2">
      <c r="C1551" s="100"/>
      <c r="D1551" s="100"/>
    </row>
    <row r="1552" spans="3:4" ht="15" customHeight="1" x14ac:dyDescent="0.2">
      <c r="C1552" s="100"/>
      <c r="D1552" s="100"/>
    </row>
    <row r="1553" spans="3:4" ht="15" customHeight="1" x14ac:dyDescent="0.2">
      <c r="C1553" s="100"/>
      <c r="D1553" s="100"/>
    </row>
    <row r="1554" spans="3:4" ht="15" customHeight="1" x14ac:dyDescent="0.2">
      <c r="C1554" s="100"/>
      <c r="D1554" s="100"/>
    </row>
    <row r="1555" spans="3:4" ht="15" customHeight="1" x14ac:dyDescent="0.2">
      <c r="C1555" s="100"/>
      <c r="D1555" s="100"/>
    </row>
    <row r="1556" spans="3:4" ht="15" customHeight="1" x14ac:dyDescent="0.2">
      <c r="C1556" s="100"/>
      <c r="D1556" s="100"/>
    </row>
    <row r="1557" spans="3:4" ht="15" customHeight="1" x14ac:dyDescent="0.2">
      <c r="C1557" s="100"/>
      <c r="D1557" s="100"/>
    </row>
    <row r="1558" spans="3:4" ht="15" customHeight="1" x14ac:dyDescent="0.2">
      <c r="C1558" s="100"/>
      <c r="D1558" s="100"/>
    </row>
    <row r="1559" spans="3:4" ht="15" customHeight="1" x14ac:dyDescent="0.2">
      <c r="C1559" s="100"/>
      <c r="D1559" s="100"/>
    </row>
    <row r="1560" spans="3:4" ht="15" customHeight="1" x14ac:dyDescent="0.2">
      <c r="C1560" s="100"/>
      <c r="D1560" s="100"/>
    </row>
    <row r="1561" spans="3:4" ht="15" customHeight="1" x14ac:dyDescent="0.2">
      <c r="C1561" s="100"/>
      <c r="D1561" s="100"/>
    </row>
    <row r="1562" spans="3:4" ht="15" customHeight="1" x14ac:dyDescent="0.2">
      <c r="C1562" s="100"/>
      <c r="D1562" s="100"/>
    </row>
    <row r="1563" spans="3:4" ht="15" customHeight="1" x14ac:dyDescent="0.2">
      <c r="C1563" s="100"/>
      <c r="D1563" s="100"/>
    </row>
    <row r="1564" spans="3:4" ht="15" customHeight="1" x14ac:dyDescent="0.2">
      <c r="C1564" s="100"/>
      <c r="D1564" s="100"/>
    </row>
    <row r="1565" spans="3:4" ht="15" customHeight="1" x14ac:dyDescent="0.2">
      <c r="C1565" s="100"/>
      <c r="D1565" s="100"/>
    </row>
    <row r="1566" spans="3:4" ht="15" customHeight="1" x14ac:dyDescent="0.2">
      <c r="C1566" s="100"/>
      <c r="D1566" s="100"/>
    </row>
    <row r="1567" spans="3:4" ht="15" customHeight="1" x14ac:dyDescent="0.2">
      <c r="C1567" s="100"/>
      <c r="D1567" s="100"/>
    </row>
    <row r="1568" spans="3:4" ht="15" customHeight="1" x14ac:dyDescent="0.2">
      <c r="C1568" s="100"/>
      <c r="D1568" s="100"/>
    </row>
    <row r="1569" spans="3:4" ht="15" customHeight="1" x14ac:dyDescent="0.2">
      <c r="C1569" s="100"/>
      <c r="D1569" s="100"/>
    </row>
    <row r="1570" spans="3:4" ht="15" customHeight="1" x14ac:dyDescent="0.2">
      <c r="C1570" s="100"/>
      <c r="D1570" s="100"/>
    </row>
    <row r="1571" spans="3:4" ht="15" customHeight="1" x14ac:dyDescent="0.2">
      <c r="C1571" s="100"/>
      <c r="D1571" s="100"/>
    </row>
    <row r="1572" spans="3:4" ht="15" customHeight="1" x14ac:dyDescent="0.2">
      <c r="C1572" s="100"/>
      <c r="D1572" s="100"/>
    </row>
    <row r="1573" spans="3:4" ht="15" customHeight="1" x14ac:dyDescent="0.2">
      <c r="C1573" s="100"/>
      <c r="D1573" s="100"/>
    </row>
    <row r="1574" spans="3:4" ht="15" customHeight="1" x14ac:dyDescent="0.2">
      <c r="C1574" s="100"/>
      <c r="D1574" s="100"/>
    </row>
    <row r="1575" spans="3:4" ht="15" customHeight="1" x14ac:dyDescent="0.2">
      <c r="C1575" s="100"/>
      <c r="D1575" s="100"/>
    </row>
    <row r="1576" spans="3:4" ht="15" customHeight="1" x14ac:dyDescent="0.2">
      <c r="C1576" s="100"/>
      <c r="D1576" s="100"/>
    </row>
    <row r="1577" spans="3:4" ht="15" customHeight="1" x14ac:dyDescent="0.2">
      <c r="C1577" s="100"/>
      <c r="D1577" s="100"/>
    </row>
    <row r="1578" spans="3:4" ht="15" customHeight="1" x14ac:dyDescent="0.2">
      <c r="C1578" s="100"/>
      <c r="D1578" s="100"/>
    </row>
    <row r="1579" spans="3:4" ht="15" customHeight="1" x14ac:dyDescent="0.2">
      <c r="C1579" s="100"/>
      <c r="D1579" s="100"/>
    </row>
    <row r="1580" spans="3:4" ht="15" customHeight="1" x14ac:dyDescent="0.2">
      <c r="C1580" s="100"/>
      <c r="D1580" s="100"/>
    </row>
    <row r="1581" spans="3:4" ht="15" customHeight="1" x14ac:dyDescent="0.2">
      <c r="C1581" s="100"/>
      <c r="D1581" s="100"/>
    </row>
    <row r="1582" spans="3:4" ht="15" customHeight="1" x14ac:dyDescent="0.2">
      <c r="C1582" s="100"/>
      <c r="D1582" s="100"/>
    </row>
    <row r="1583" spans="3:4" ht="15" customHeight="1" x14ac:dyDescent="0.2">
      <c r="C1583" s="100"/>
      <c r="D1583" s="100"/>
    </row>
    <row r="1584" spans="3:4" ht="15" customHeight="1" x14ac:dyDescent="0.2">
      <c r="C1584" s="100"/>
      <c r="D1584" s="100"/>
    </row>
    <row r="1585" spans="3:4" ht="15" customHeight="1" x14ac:dyDescent="0.2">
      <c r="C1585" s="100"/>
      <c r="D1585" s="100"/>
    </row>
    <row r="1586" spans="3:4" ht="15" customHeight="1" x14ac:dyDescent="0.2">
      <c r="C1586" s="100"/>
      <c r="D1586" s="100"/>
    </row>
    <row r="1587" spans="3:4" ht="15" customHeight="1" x14ac:dyDescent="0.2">
      <c r="C1587" s="100"/>
      <c r="D1587" s="100"/>
    </row>
    <row r="1588" spans="3:4" ht="15" customHeight="1" x14ac:dyDescent="0.2">
      <c r="C1588" s="100"/>
      <c r="D1588" s="100"/>
    </row>
    <row r="1589" spans="3:4" ht="15" customHeight="1" x14ac:dyDescent="0.2">
      <c r="C1589" s="100"/>
      <c r="D1589" s="100"/>
    </row>
    <row r="1590" spans="3:4" ht="15" customHeight="1" x14ac:dyDescent="0.2">
      <c r="C1590" s="100"/>
      <c r="D1590" s="100"/>
    </row>
    <row r="1591" spans="3:4" ht="15" customHeight="1" x14ac:dyDescent="0.2">
      <c r="C1591" s="100"/>
      <c r="D1591" s="100"/>
    </row>
    <row r="1592" spans="3:4" ht="15" customHeight="1" x14ac:dyDescent="0.2">
      <c r="C1592" s="100"/>
      <c r="D1592" s="100"/>
    </row>
    <row r="1593" spans="3:4" ht="15" customHeight="1" x14ac:dyDescent="0.2">
      <c r="C1593" s="100"/>
      <c r="D1593" s="100"/>
    </row>
    <row r="1594" spans="3:4" ht="15" customHeight="1" x14ac:dyDescent="0.2">
      <c r="C1594" s="100"/>
      <c r="D1594" s="100"/>
    </row>
    <row r="1595" spans="3:4" ht="15" customHeight="1" x14ac:dyDescent="0.2">
      <c r="C1595" s="100"/>
      <c r="D1595" s="100"/>
    </row>
    <row r="1596" spans="3:4" ht="15" customHeight="1" x14ac:dyDescent="0.2">
      <c r="C1596" s="100"/>
      <c r="D1596" s="100"/>
    </row>
    <row r="1597" spans="3:4" ht="15" customHeight="1" x14ac:dyDescent="0.2">
      <c r="C1597" s="100"/>
      <c r="D1597" s="100"/>
    </row>
    <row r="1598" spans="3:4" ht="15" customHeight="1" x14ac:dyDescent="0.2">
      <c r="C1598" s="100"/>
      <c r="D1598" s="100"/>
    </row>
    <row r="1599" spans="3:4" ht="15" customHeight="1" x14ac:dyDescent="0.2">
      <c r="C1599" s="100"/>
      <c r="D1599" s="100"/>
    </row>
    <row r="1600" spans="3:4" ht="15" customHeight="1" x14ac:dyDescent="0.2">
      <c r="C1600" s="100"/>
      <c r="D1600" s="100"/>
    </row>
    <row r="1601" spans="3:4" ht="15" customHeight="1" x14ac:dyDescent="0.2">
      <c r="C1601" s="100"/>
      <c r="D1601" s="100"/>
    </row>
    <row r="1602" spans="3:4" ht="15" customHeight="1" x14ac:dyDescent="0.2">
      <c r="C1602" s="100"/>
      <c r="D1602" s="100"/>
    </row>
    <row r="1603" spans="3:4" ht="15" customHeight="1" x14ac:dyDescent="0.2">
      <c r="C1603" s="100"/>
      <c r="D1603" s="100"/>
    </row>
    <row r="1604" spans="3:4" ht="15" customHeight="1" x14ac:dyDescent="0.2">
      <c r="C1604" s="100"/>
      <c r="D1604" s="100"/>
    </row>
    <row r="1605" spans="3:4" ht="15" customHeight="1" x14ac:dyDescent="0.2">
      <c r="C1605" s="100"/>
      <c r="D1605" s="100"/>
    </row>
    <row r="1606" spans="3:4" ht="15" customHeight="1" x14ac:dyDescent="0.2">
      <c r="C1606" s="100"/>
      <c r="D1606" s="100"/>
    </row>
  </sheetData>
  <mergeCells count="254">
    <mergeCell ref="AQ14:AR15"/>
    <mergeCell ref="BK5:BM5"/>
    <mergeCell ref="BG4:BI4"/>
    <mergeCell ref="BG5:BI5"/>
    <mergeCell ref="BG2:BM2"/>
    <mergeCell ref="B5:D5"/>
    <mergeCell ref="P5:S6"/>
    <mergeCell ref="U5:Y5"/>
    <mergeCell ref="AA5:AC6"/>
    <mergeCell ref="BK4:BM4"/>
    <mergeCell ref="AI2:AI3"/>
    <mergeCell ref="BC2:BD2"/>
    <mergeCell ref="B3:D3"/>
    <mergeCell ref="F3:I3"/>
    <mergeCell ref="K3:N3"/>
    <mergeCell ref="P3:S3"/>
    <mergeCell ref="U3:Y3"/>
    <mergeCell ref="AA3:AC3"/>
    <mergeCell ref="F6:G6"/>
    <mergeCell ref="K6:L6"/>
    <mergeCell ref="U6:U7"/>
    <mergeCell ref="V6:X6"/>
    <mergeCell ref="Y6:Y7"/>
    <mergeCell ref="F7:G7"/>
    <mergeCell ref="F4:I5"/>
    <mergeCell ref="K4:N5"/>
    <mergeCell ref="K7:L7"/>
    <mergeCell ref="P7:Q7"/>
    <mergeCell ref="AQ1:AQ2"/>
    <mergeCell ref="AE28:AF31"/>
    <mergeCell ref="BK7:BM7"/>
    <mergeCell ref="F8:G8"/>
    <mergeCell ref="K8:L8"/>
    <mergeCell ref="P8:Q8"/>
    <mergeCell ref="P10:Q10"/>
    <mergeCell ref="F9:G9"/>
    <mergeCell ref="K9:L9"/>
    <mergeCell ref="P9:Q9"/>
    <mergeCell ref="F10:G10"/>
    <mergeCell ref="K10:L10"/>
    <mergeCell ref="F11:G11"/>
    <mergeCell ref="K11:L11"/>
    <mergeCell ref="P11:Q11"/>
    <mergeCell ref="BK15:BM15"/>
    <mergeCell ref="AE21:AF21"/>
    <mergeCell ref="F19:G19"/>
    <mergeCell ref="K19:L19"/>
    <mergeCell ref="F18:G18"/>
    <mergeCell ref="K18:L18"/>
    <mergeCell ref="AE18:AF18"/>
    <mergeCell ref="AE19:AF19"/>
    <mergeCell ref="AE12:AG12"/>
    <mergeCell ref="AE11:AG11"/>
    <mergeCell ref="F12:G12"/>
    <mergeCell ref="K12:L12"/>
    <mergeCell ref="P12:Q12"/>
    <mergeCell ref="F15:G15"/>
    <mergeCell ref="K15:L15"/>
    <mergeCell ref="F16:G16"/>
    <mergeCell ref="K16:L16"/>
    <mergeCell ref="P16:S17"/>
    <mergeCell ref="AE17:AG17"/>
    <mergeCell ref="F14:G14"/>
    <mergeCell ref="K14:L14"/>
    <mergeCell ref="P14:Q14"/>
    <mergeCell ref="AE15:AG15"/>
    <mergeCell ref="F17:G17"/>
    <mergeCell ref="K17:L17"/>
    <mergeCell ref="F13:G13"/>
    <mergeCell ref="K13:L13"/>
    <mergeCell ref="P13:Q13"/>
    <mergeCell ref="AE14:AG14"/>
    <mergeCell ref="F21:G21"/>
    <mergeCell ref="F20:G20"/>
    <mergeCell ref="K20:L20"/>
    <mergeCell ref="F26:G26"/>
    <mergeCell ref="K26:L26"/>
    <mergeCell ref="P26:Q26"/>
    <mergeCell ref="R26:S26"/>
    <mergeCell ref="BL21:BM21"/>
    <mergeCell ref="K21:L21"/>
    <mergeCell ref="F23:G23"/>
    <mergeCell ref="K23:L23"/>
    <mergeCell ref="F24:G24"/>
    <mergeCell ref="K24:L24"/>
    <mergeCell ref="P24:S25"/>
    <mergeCell ref="F25:G25"/>
    <mergeCell ref="K25:L25"/>
    <mergeCell ref="F22:G22"/>
    <mergeCell ref="K22:L22"/>
    <mergeCell ref="P22:S22"/>
    <mergeCell ref="AE20:AF20"/>
    <mergeCell ref="AE26:AF27"/>
    <mergeCell ref="AE22:AF22"/>
    <mergeCell ref="F28:G28"/>
    <mergeCell ref="K28:L28"/>
    <mergeCell ref="P28:Q28"/>
    <mergeCell ref="R28:S28"/>
    <mergeCell ref="F29:G29"/>
    <mergeCell ref="K29:L29"/>
    <mergeCell ref="P29:Q29"/>
    <mergeCell ref="R29:S29"/>
    <mergeCell ref="F27:G27"/>
    <mergeCell ref="K27:L27"/>
    <mergeCell ref="P27:Q27"/>
    <mergeCell ref="R27:S27"/>
    <mergeCell ref="F31:G31"/>
    <mergeCell ref="K31:L31"/>
    <mergeCell ref="P31:Q31"/>
    <mergeCell ref="R31:S31"/>
    <mergeCell ref="F30:G30"/>
    <mergeCell ref="K30:L30"/>
    <mergeCell ref="P30:Q30"/>
    <mergeCell ref="R30:S30"/>
    <mergeCell ref="F32:G32"/>
    <mergeCell ref="K32:L32"/>
    <mergeCell ref="P32:Q32"/>
    <mergeCell ref="R32:S32"/>
    <mergeCell ref="F33:G33"/>
    <mergeCell ref="K33:L33"/>
    <mergeCell ref="P33:Q33"/>
    <mergeCell ref="R33:S33"/>
    <mergeCell ref="F34:G34"/>
    <mergeCell ref="K34:L34"/>
    <mergeCell ref="P34:Q34"/>
    <mergeCell ref="R34:S34"/>
    <mergeCell ref="P35:Q35"/>
    <mergeCell ref="R35:S35"/>
    <mergeCell ref="P36:Q36"/>
    <mergeCell ref="R36:S36"/>
    <mergeCell ref="P37:Q37"/>
    <mergeCell ref="R37:S37"/>
    <mergeCell ref="P40:Q40"/>
    <mergeCell ref="R40:S40"/>
    <mergeCell ref="BK38:BM38"/>
    <mergeCell ref="BK39:BM39"/>
    <mergeCell ref="AE32:AF40"/>
    <mergeCell ref="AA49:AC50"/>
    <mergeCell ref="P50:Q50"/>
    <mergeCell ref="R50:S50"/>
    <mergeCell ref="P41:Q41"/>
    <mergeCell ref="R41:S41"/>
    <mergeCell ref="P39:Q39"/>
    <mergeCell ref="R39:S39"/>
    <mergeCell ref="P38:Q38"/>
    <mergeCell ref="R38:S38"/>
    <mergeCell ref="P46:Q46"/>
    <mergeCell ref="R46:S46"/>
    <mergeCell ref="P43:Q43"/>
    <mergeCell ref="R43:S43"/>
    <mergeCell ref="P42:Q42"/>
    <mergeCell ref="R42:S42"/>
    <mergeCell ref="P44:Q44"/>
    <mergeCell ref="R44:S44"/>
    <mergeCell ref="P45:Q45"/>
    <mergeCell ref="R45:S45"/>
    <mergeCell ref="P60:Q60"/>
    <mergeCell ref="P59:Q59"/>
    <mergeCell ref="P58:Q58"/>
    <mergeCell ref="P57:Q57"/>
    <mergeCell ref="P56:Q56"/>
    <mergeCell ref="P93:Q93"/>
    <mergeCell ref="P54:S55"/>
    <mergeCell ref="P52:S52"/>
    <mergeCell ref="P47:Q47"/>
    <mergeCell ref="R47:S47"/>
    <mergeCell ref="P48:Q48"/>
    <mergeCell ref="R48:S48"/>
    <mergeCell ref="P49:Q49"/>
    <mergeCell ref="R49:S49"/>
    <mergeCell ref="P68:S69"/>
    <mergeCell ref="P70:Q70"/>
    <mergeCell ref="P64:Q64"/>
    <mergeCell ref="P65:Q65"/>
    <mergeCell ref="P66:Q66"/>
    <mergeCell ref="P90:S91"/>
    <mergeCell ref="P92:Q92"/>
    <mergeCell ref="R92:S92"/>
    <mergeCell ref="P61:Q61"/>
    <mergeCell ref="P62:Q62"/>
    <mergeCell ref="P63:Q63"/>
    <mergeCell ref="P95:Q95"/>
    <mergeCell ref="R95:S95"/>
    <mergeCell ref="P96:Q96"/>
    <mergeCell ref="R96:S96"/>
    <mergeCell ref="P99:Q99"/>
    <mergeCell ref="R99:S99"/>
    <mergeCell ref="P98:Q98"/>
    <mergeCell ref="R98:S98"/>
    <mergeCell ref="R93:S93"/>
    <mergeCell ref="P94:Q94"/>
    <mergeCell ref="R94:S94"/>
    <mergeCell ref="BK41:BM41"/>
    <mergeCell ref="BK42:BM42"/>
    <mergeCell ref="BK44:BM44"/>
    <mergeCell ref="BK45:BM45"/>
    <mergeCell ref="U90:W90"/>
    <mergeCell ref="P113:Q113"/>
    <mergeCell ref="R113:S113"/>
    <mergeCell ref="U91:W91"/>
    <mergeCell ref="P114:Q114"/>
    <mergeCell ref="R114:S114"/>
    <mergeCell ref="P112:Q112"/>
    <mergeCell ref="R112:S112"/>
    <mergeCell ref="P109:Q109"/>
    <mergeCell ref="R109:S109"/>
    <mergeCell ref="P107:Q107"/>
    <mergeCell ref="R107:S107"/>
    <mergeCell ref="P106:Q106"/>
    <mergeCell ref="R106:S106"/>
    <mergeCell ref="P108:Q108"/>
    <mergeCell ref="R108:S108"/>
    <mergeCell ref="P110:Q110"/>
    <mergeCell ref="R110:S110"/>
    <mergeCell ref="P111:Q111"/>
    <mergeCell ref="R111:S111"/>
    <mergeCell ref="BG7:BI7"/>
    <mergeCell ref="BG9:BG10"/>
    <mergeCell ref="BH9:BH10"/>
    <mergeCell ref="BI9:BI10"/>
    <mergeCell ref="BG17:BI17"/>
    <mergeCell ref="AT2:AV2"/>
    <mergeCell ref="AW2:AY2"/>
    <mergeCell ref="U111:W111"/>
    <mergeCell ref="P118:Q118"/>
    <mergeCell ref="R118:S118"/>
    <mergeCell ref="P101:Q101"/>
    <mergeCell ref="R101:S101"/>
    <mergeCell ref="P100:Q100"/>
    <mergeCell ref="R100:S100"/>
    <mergeCell ref="P103:Q103"/>
    <mergeCell ref="R103:S103"/>
    <mergeCell ref="P102:Q102"/>
    <mergeCell ref="R102:S102"/>
    <mergeCell ref="P105:Q105"/>
    <mergeCell ref="R105:S105"/>
    <mergeCell ref="P104:Q104"/>
    <mergeCell ref="R104:S104"/>
    <mergeCell ref="P97:Q97"/>
    <mergeCell ref="R97:S97"/>
    <mergeCell ref="P119:Q119"/>
    <mergeCell ref="R119:S119"/>
    <mergeCell ref="P120:Q120"/>
    <mergeCell ref="R120:S120"/>
    <mergeCell ref="P121:Q121"/>
    <mergeCell ref="R121:S121"/>
    <mergeCell ref="P122:Q122"/>
    <mergeCell ref="R122:S122"/>
    <mergeCell ref="P115:Q115"/>
    <mergeCell ref="R115:S115"/>
    <mergeCell ref="P116:Q116"/>
    <mergeCell ref="R116:S116"/>
    <mergeCell ref="P117:Q117"/>
    <mergeCell ref="R117:S117"/>
  </mergeCells>
  <conditionalFormatting sqref="AQ4:AQ9">
    <cfRule type="expression" dxfId="52" priority="2">
      <formula>AP4="yes"</formula>
    </cfRule>
  </conditionalFormatting>
  <conditionalFormatting sqref="AI19">
    <cfRule type="expression" dxfId="51" priority="3">
      <formula>#REF!&gt;#REF!</formula>
    </cfRule>
    <cfRule type="expression" dxfId="50" priority="4">
      <formula>"IF($AL$19=""Good."")"</formula>
    </cfRule>
  </conditionalFormatting>
  <dataValidations disablePrompts="1" count="4">
    <dataValidation type="list" allowBlank="1" showInputMessage="1" showErrorMessage="1" sqref="AL4:AL9" xr:uid="{93AFF5BA-8C1A-43F4-8E57-4CBBD8267E3B}">
      <formula1>$Y$112:$Y$115</formula1>
    </dataValidation>
    <dataValidation type="list" allowBlank="1" showInputMessage="1" showErrorMessage="1" sqref="AK4:AK9" xr:uid="{1431C1DE-ACC1-421F-82A4-6A4B296326F4}">
      <formula1>$Y$111:$Y$114</formula1>
    </dataValidation>
    <dataValidation type="list" allowBlank="1" showInputMessage="1" showErrorMessage="1" sqref="AJ4:AJ9" xr:uid="{C65583E1-BB71-47FF-B500-240B3F717D34}">
      <formula1>$Z$88:$Z$89</formula1>
    </dataValidation>
    <dataValidation type="list" allowBlank="1" showInputMessage="1" showErrorMessage="1" sqref="AP4:AP9" xr:uid="{0693E514-7C6C-40F6-BF70-2382D7045461}">
      <formula1>$Z$85:$Z$86</formula1>
    </dataValidation>
  </dataValidations>
  <pageMargins left="0.7" right="0.7" top="0.75" bottom="0.75" header="0.3" footer="0.3"/>
  <pageSetup orientation="portrait" horizontalDpi="0" verticalDpi="0" r:id="rId1"/>
  <ignoredErrors>
    <ignoredError sqref="AT4:AT5" formula="1"/>
  </ignoredError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839FC63F-FD13-4F66-9CBF-3476C15D446D}">
          <x14:formula1>
            <xm:f>'Utility &amp; Client Info'!$Y$3:$Y$3</xm:f>
          </x14:formula1>
          <xm:sqref>AF24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6C3743-6A37-47FD-9F3B-9BE58CE283BF}">
  <sheetPr codeName="Sheet6">
    <tabColor rgb="FF00B0F0"/>
  </sheetPr>
  <dimension ref="A2:AM57"/>
  <sheetViews>
    <sheetView topLeftCell="T1" zoomScale="80" zoomScaleNormal="80" workbookViewId="0">
      <selection activeCell="T1" sqref="T1"/>
    </sheetView>
  </sheetViews>
  <sheetFormatPr defaultRowHeight="15" x14ac:dyDescent="0.25"/>
  <cols>
    <col min="1" max="1" width="9.140625" hidden="1" customWidth="1"/>
    <col min="2" max="2" width="17.28515625" hidden="1" customWidth="1"/>
    <col min="3" max="4" width="14.140625" hidden="1" customWidth="1"/>
    <col min="5" max="5" width="9.140625" hidden="1" customWidth="1"/>
    <col min="6" max="6" width="10" hidden="1" customWidth="1"/>
    <col min="7" max="7" width="7.85546875" hidden="1" customWidth="1"/>
    <col min="8" max="8" width="16.85546875" hidden="1" customWidth="1"/>
    <col min="9" max="9" width="14.5703125" hidden="1" customWidth="1"/>
    <col min="10" max="10" width="10.85546875" hidden="1" customWidth="1"/>
    <col min="11" max="11" width="9.140625" hidden="1" customWidth="1"/>
    <col min="12" max="12" width="12" hidden="1" customWidth="1"/>
    <col min="13" max="13" width="11.140625" hidden="1" customWidth="1"/>
    <col min="14" max="14" width="9.140625" hidden="1" customWidth="1"/>
    <col min="15" max="15" width="19.5703125" hidden="1" customWidth="1"/>
    <col min="16" max="16" width="19.28515625" hidden="1" customWidth="1"/>
    <col min="17" max="17" width="9.140625" hidden="1" customWidth="1"/>
    <col min="18" max="18" width="11.140625" hidden="1" customWidth="1"/>
    <col min="19" max="19" width="10" hidden="1" customWidth="1"/>
    <col min="21" max="21" width="33.140625" bestFit="1" customWidth="1"/>
    <col min="25" max="25" width="10.140625" bestFit="1" customWidth="1"/>
    <col min="26" max="26" width="10.5703125" bestFit="1" customWidth="1"/>
    <col min="27" max="27" width="10" bestFit="1" customWidth="1"/>
    <col min="28" max="28" width="9.140625" bestFit="1" customWidth="1"/>
    <col min="29" max="29" width="31" customWidth="1"/>
    <col min="30" max="30" width="18.42578125" customWidth="1"/>
    <col min="31" max="31" width="42.7109375" customWidth="1"/>
    <col min="32" max="32" width="35.85546875" customWidth="1"/>
    <col min="33" max="33" width="28.85546875" customWidth="1"/>
    <col min="34" max="34" width="10.5703125" bestFit="1" customWidth="1"/>
    <col min="35" max="35" width="16.28515625" bestFit="1" customWidth="1"/>
    <col min="36" max="36" width="17.85546875" bestFit="1" customWidth="1"/>
    <col min="37" max="37" width="16.5703125" bestFit="1" customWidth="1"/>
  </cols>
  <sheetData>
    <row r="2" spans="2:39" ht="15" customHeight="1" x14ac:dyDescent="0.25">
      <c r="AC2" s="310" t="s">
        <v>520</v>
      </c>
    </row>
    <row r="3" spans="2:39" x14ac:dyDescent="0.25">
      <c r="B3" s="554" t="s">
        <v>523</v>
      </c>
      <c r="C3" s="554"/>
      <c r="D3" s="554"/>
      <c r="F3" s="138"/>
      <c r="G3" s="138"/>
      <c r="H3" s="554" t="s">
        <v>509</v>
      </c>
      <c r="I3" s="554"/>
      <c r="J3" s="554"/>
      <c r="L3" s="561" t="s">
        <v>493</v>
      </c>
      <c r="M3" s="562"/>
      <c r="N3" s="114"/>
      <c r="O3" s="343" t="s">
        <v>494</v>
      </c>
      <c r="P3" s="345"/>
      <c r="Q3" s="114"/>
      <c r="R3" s="343" t="s">
        <v>495</v>
      </c>
      <c r="S3" s="345"/>
      <c r="X3" s="135"/>
      <c r="Y3" s="146" t="s">
        <v>11</v>
      </c>
      <c r="Z3" s="136" t="s">
        <v>497</v>
      </c>
      <c r="AA3" s="137" t="s">
        <v>498</v>
      </c>
      <c r="AB3" s="146" t="s">
        <v>499</v>
      </c>
      <c r="AC3" s="165" t="s">
        <v>521</v>
      </c>
      <c r="AD3" s="137" t="s">
        <v>501</v>
      </c>
      <c r="AE3" s="142" t="s">
        <v>502</v>
      </c>
      <c r="AF3" s="136" t="s">
        <v>494</v>
      </c>
      <c r="AG3" s="137" t="s">
        <v>503</v>
      </c>
      <c r="AH3" s="136" t="s">
        <v>504</v>
      </c>
      <c r="AI3" s="136" t="s">
        <v>505</v>
      </c>
      <c r="AJ3" s="137" t="s">
        <v>506</v>
      </c>
      <c r="AK3" s="136" t="s">
        <v>507</v>
      </c>
      <c r="AL3" s="545" t="s">
        <v>508</v>
      </c>
      <c r="AM3" s="546"/>
    </row>
    <row r="4" spans="2:39" x14ac:dyDescent="0.25">
      <c r="B4" s="136" t="s">
        <v>500</v>
      </c>
      <c r="C4" s="555" t="s">
        <v>524</v>
      </c>
      <c r="D4" s="555"/>
      <c r="F4" s="142" t="s">
        <v>18</v>
      </c>
      <c r="G4" s="162" t="s">
        <v>513</v>
      </c>
      <c r="H4" s="142" t="s">
        <v>514</v>
      </c>
      <c r="I4" s="142" t="s">
        <v>512</v>
      </c>
      <c r="J4" s="163" t="s">
        <v>515</v>
      </c>
      <c r="L4" s="556">
        <v>75</v>
      </c>
      <c r="M4" s="557"/>
      <c r="N4" s="114"/>
      <c r="O4" s="139" t="s">
        <v>510</v>
      </c>
      <c r="P4" s="140">
        <v>3.2299999999999998E-3</v>
      </c>
      <c r="Q4" s="114"/>
      <c r="R4" s="136" t="s">
        <v>497</v>
      </c>
      <c r="S4" s="141" t="s">
        <v>498</v>
      </c>
      <c r="U4" s="563" t="s">
        <v>562</v>
      </c>
      <c r="V4" s="564"/>
      <c r="X4" s="558" t="s">
        <v>518</v>
      </c>
      <c r="Y4" s="115">
        <v>1</v>
      </c>
      <c r="Z4" s="80">
        <v>1</v>
      </c>
      <c r="AA4" s="143">
        <f>VLOOKUP(Z4,$R$5:$S$6,2,FALSE)</f>
        <v>2</v>
      </c>
      <c r="AB4" s="235">
        <f>$V$7</f>
        <v>0.78947368421052633</v>
      </c>
      <c r="AC4" s="209"/>
      <c r="AD4" s="79" t="s">
        <v>512</v>
      </c>
      <c r="AE4" s="80" t="e">
        <f>IF(AD4="Copper-Coated",VLOOKUP(AC4,$F$5:$J$32,4,FALSE),IF(AD4="Copper-Uncoated",VLOOKUP(AC4,$F$5:$J$32,3,FALSE),VLOOKUP(AC4,$F$5:$J$32,5,FALSE)))</f>
        <v>#N/A</v>
      </c>
      <c r="AF4" s="215">
        <f>IF(AD4="Aluminum",VLOOKUP(AD4,$O$4:$P$5,2,FALSE),VLOOKUP("Copper",$O$4:$P$5,2,TRUE))</f>
        <v>3.2299999999999998E-3</v>
      </c>
      <c r="AG4" s="79">
        <f>1+AF4*($L$4-75)</f>
        <v>1</v>
      </c>
      <c r="AH4" s="209"/>
      <c r="AI4" s="144" t="e">
        <f>(AA4*AB4*AH4*AE4*AG4)/1000</f>
        <v>#N/A</v>
      </c>
      <c r="AJ4" s="79">
        <f>$V$6</f>
        <v>380</v>
      </c>
      <c r="AK4" s="145" t="e">
        <f>AI4/AJ4</f>
        <v>#N/A</v>
      </c>
      <c r="AL4" s="547" t="e">
        <f>SUM(AK4:AK5)</f>
        <v>#N/A</v>
      </c>
      <c r="AM4" s="547" t="e">
        <f>SUM(AL4:AL19)</f>
        <v>#N/A</v>
      </c>
    </row>
    <row r="5" spans="2:39" x14ac:dyDescent="0.25">
      <c r="B5" s="80">
        <v>18</v>
      </c>
      <c r="C5" s="79">
        <v>0</v>
      </c>
      <c r="D5" s="80">
        <v>1620</v>
      </c>
      <c r="F5" s="80">
        <v>18</v>
      </c>
      <c r="G5" s="79">
        <v>7</v>
      </c>
      <c r="H5" s="80">
        <v>7.95</v>
      </c>
      <c r="I5" s="79">
        <v>8.4499999999999993</v>
      </c>
      <c r="J5" s="80">
        <v>13.1</v>
      </c>
      <c r="N5" s="114"/>
      <c r="O5" s="147" t="s">
        <v>516</v>
      </c>
      <c r="P5" s="148">
        <v>3.3E-3</v>
      </c>
      <c r="Q5" s="114"/>
      <c r="R5" s="140">
        <v>1</v>
      </c>
      <c r="S5" s="140">
        <v>2</v>
      </c>
      <c r="U5" s="234" t="s">
        <v>561</v>
      </c>
      <c r="V5" s="80">
        <f>MAX(Input!G12:G14)*LEFT(Output!H16,LEN(Output!H16)-1)</f>
        <v>300</v>
      </c>
      <c r="X5" s="560"/>
      <c r="Y5" s="116">
        <v>2</v>
      </c>
      <c r="Z5" s="75">
        <v>1</v>
      </c>
      <c r="AA5" s="149">
        <f>VLOOKUP(Z5,$R$5:$S$6,2,FALSE)</f>
        <v>2</v>
      </c>
      <c r="AB5" s="236">
        <f>$V$7</f>
        <v>0.78947368421052633</v>
      </c>
      <c r="AC5" s="210"/>
      <c r="AD5" s="74" t="s">
        <v>512</v>
      </c>
      <c r="AE5" s="82" t="e">
        <f>IF(AD5="Copper-Coated",VLOOKUP(AC5,$F$5:$J$32,4,FALSE),IF(AD5="Copper-Uncoated",VLOOKUP(AC5,$F$5:$J$32,3,FALSE),VLOOKUP(AC5,$F$5:$J$32,5,FALSE)))</f>
        <v>#N/A</v>
      </c>
      <c r="AF5" s="216">
        <f>IF(AD5="Aluminum",VLOOKUP(AD5,$O$4:$P$5,2,FALSE),VLOOKUP("Copper",$O$4:$P$5,2,TRUE))</f>
        <v>3.2299999999999998E-3</v>
      </c>
      <c r="AG5" s="75">
        <f>1+AF5*($L$4-75)</f>
        <v>1</v>
      </c>
      <c r="AH5" s="210"/>
      <c r="AI5" s="150" t="e">
        <f>(AA5*AB5*AH5*AE5*AG5)/1000</f>
        <v>#N/A</v>
      </c>
      <c r="AJ5" s="74">
        <f>$V$6</f>
        <v>380</v>
      </c>
      <c r="AK5" s="151" t="e">
        <f>AI5/AJ5</f>
        <v>#N/A</v>
      </c>
      <c r="AL5" s="549"/>
      <c r="AM5" s="548"/>
    </row>
    <row r="6" spans="2:39" x14ac:dyDescent="0.25">
      <c r="B6" s="75">
        <v>16</v>
      </c>
      <c r="C6" s="74">
        <f t="shared" ref="C6:C34" si="0">D5+0.001</f>
        <v>1620.001</v>
      </c>
      <c r="D6" s="75">
        <v>2580</v>
      </c>
      <c r="F6" s="75">
        <v>16</v>
      </c>
      <c r="G6" s="74">
        <v>7</v>
      </c>
      <c r="H6" s="75">
        <v>4.99</v>
      </c>
      <c r="I6" s="74">
        <v>5.29</v>
      </c>
      <c r="J6" s="75">
        <v>8.2100000000000009</v>
      </c>
      <c r="L6" s="71"/>
      <c r="M6" s="71"/>
      <c r="R6" s="152">
        <v>3</v>
      </c>
      <c r="S6" s="153">
        <f>SQRT(3)</f>
        <v>1.7320508075688772</v>
      </c>
      <c r="U6" s="218" t="s">
        <v>560</v>
      </c>
      <c r="V6" s="75">
        <f>Calculations!BL10</f>
        <v>380</v>
      </c>
      <c r="X6" s="558" t="s">
        <v>511</v>
      </c>
      <c r="Y6" s="115">
        <v>3</v>
      </c>
      <c r="Z6" s="80">
        <v>1</v>
      </c>
      <c r="AA6" s="143">
        <f>VLOOKUP(Z6,$R$5:$S$6,2,FALSE)</f>
        <v>2</v>
      </c>
      <c r="AB6" s="115">
        <f>$V$11</f>
        <v>12.5</v>
      </c>
      <c r="AC6" s="209"/>
      <c r="AD6" s="79" t="s">
        <v>512</v>
      </c>
      <c r="AE6" s="75" t="e">
        <f>IF(AD6="Copper-Coated",VLOOKUP(AC6,$F$5:$J$32,4,FALSE),IF(AD6="Copper-Uncoated",VLOOKUP(AC6,$F$5:$J$32,3,FALSE),VLOOKUP(AC6,$F$5:$J$32,5,FALSE)))</f>
        <v>#N/A</v>
      </c>
      <c r="AF6" s="215">
        <f>IF(AD6="Aluminum",VLOOKUP(AD6,$O$4:$P$5,2,FALSE),VLOOKUP("Copper",$O$4:$P$5,2,TRUE))</f>
        <v>3.2299999999999998E-3</v>
      </c>
      <c r="AG6" s="79">
        <f>1+AF6*($L$4-75)</f>
        <v>1</v>
      </c>
      <c r="AH6" s="209"/>
      <c r="AI6" s="144" t="e">
        <f>(AA6*AB6*AH6*AE6*AG6)/1000</f>
        <v>#N/A</v>
      </c>
      <c r="AJ6" s="79">
        <f>$V$10</f>
        <v>240</v>
      </c>
      <c r="AK6" s="145" t="e">
        <f>AI6/AJ6</f>
        <v>#N/A</v>
      </c>
      <c r="AL6" s="547" t="e">
        <f>SUM(AK6:AK11)</f>
        <v>#N/A</v>
      </c>
      <c r="AM6" s="548"/>
    </row>
    <row r="7" spans="2:39" x14ac:dyDescent="0.25">
      <c r="B7" s="75">
        <v>14</v>
      </c>
      <c r="C7" s="74">
        <f t="shared" si="0"/>
        <v>2580.0010000000002</v>
      </c>
      <c r="D7" s="75">
        <v>4110</v>
      </c>
      <c r="F7" s="75">
        <v>14</v>
      </c>
      <c r="G7" s="74">
        <v>7</v>
      </c>
      <c r="H7" s="75">
        <v>3.14</v>
      </c>
      <c r="I7" s="74">
        <v>3.26</v>
      </c>
      <c r="J7" s="75">
        <v>5.17</v>
      </c>
      <c r="L7" s="71"/>
      <c r="M7" s="71"/>
      <c r="R7" s="114"/>
      <c r="S7" s="155"/>
      <c r="U7" s="219" t="s">
        <v>563</v>
      </c>
      <c r="V7" s="157">
        <f>V5/V6</f>
        <v>0.78947368421052633</v>
      </c>
      <c r="X7" s="559"/>
      <c r="Y7" s="116">
        <v>4</v>
      </c>
      <c r="Z7" s="75">
        <v>1</v>
      </c>
      <c r="AA7" s="149">
        <f>VLOOKUP(Z7,$R$5:$S$6,2,FALSE)</f>
        <v>2</v>
      </c>
      <c r="AB7" s="116">
        <f>$V$11</f>
        <v>12.5</v>
      </c>
      <c r="AC7" s="210"/>
      <c r="AD7" s="74" t="s">
        <v>512</v>
      </c>
      <c r="AE7" s="75" t="e">
        <f>IF(AD7="Copper-Coated",VLOOKUP(AC7,$F$5:$J$32,4,FALSE),IF(AD7="Copper-Uncoated",VLOOKUP(AC7,$F$5:$J$32,3,FALSE),VLOOKUP(AC7,$F$5:$J$32,5,FALSE)))</f>
        <v>#N/A</v>
      </c>
      <c r="AF7" s="216">
        <f>IF(AD7="Aluminum",VLOOKUP(AD7,$O$4:$P$5,2,FALSE),VLOOKUP("Copper",$O$4:$P$5,2,TRUE))</f>
        <v>3.2299999999999998E-3</v>
      </c>
      <c r="AG7" s="75">
        <f>1+AF7*($L$4-75)</f>
        <v>1</v>
      </c>
      <c r="AH7" s="210"/>
      <c r="AI7" s="150" t="e">
        <f>(AA7*AB7*AH7*AE7*AG7)/1000</f>
        <v>#N/A</v>
      </c>
      <c r="AJ7" s="74">
        <f>$V$10</f>
        <v>240</v>
      </c>
      <c r="AK7" s="151" t="e">
        <f>AI7/AJ7</f>
        <v>#N/A</v>
      </c>
      <c r="AL7" s="548"/>
      <c r="AM7" s="548"/>
    </row>
    <row r="8" spans="2:39" x14ac:dyDescent="0.25">
      <c r="B8" s="75">
        <v>12</v>
      </c>
      <c r="C8" s="74">
        <f t="shared" si="0"/>
        <v>4110.0010000000002</v>
      </c>
      <c r="D8" s="75">
        <v>6530</v>
      </c>
      <c r="F8" s="75">
        <v>12</v>
      </c>
      <c r="G8" s="74">
        <v>7</v>
      </c>
      <c r="H8" s="75">
        <v>1.98</v>
      </c>
      <c r="I8" s="74">
        <v>2.0499999999999998</v>
      </c>
      <c r="J8" s="75">
        <v>3.25</v>
      </c>
      <c r="L8" s="71"/>
      <c r="M8" s="71"/>
      <c r="R8" s="114"/>
      <c r="S8" s="155"/>
      <c r="X8" s="559"/>
      <c r="Y8" s="116">
        <v>5</v>
      </c>
      <c r="Z8" s="75">
        <v>1</v>
      </c>
      <c r="AA8" s="154">
        <f>VLOOKUP(Z8,$R$5:$S$6,2,FALSE)</f>
        <v>2</v>
      </c>
      <c r="AB8" s="116">
        <f>$V$11</f>
        <v>12.5</v>
      </c>
      <c r="AC8" s="210"/>
      <c r="AD8" s="74" t="s">
        <v>512</v>
      </c>
      <c r="AE8" s="75" t="e">
        <f>IF(AD8="Copper-Coated",VLOOKUP(AC8,$F$5:$J$32,4,FALSE),IF(AD8="Copper-Uncoated",VLOOKUP(AC8,$F$5:$J$32,3,FALSE),VLOOKUP(AC8,$F$5:$J$32,5,FALSE)))</f>
        <v>#N/A</v>
      </c>
      <c r="AF8" s="216">
        <f>IF(AD8="Aluminum",VLOOKUP(AD8,$O$4:$P$5,2,FALSE),VLOOKUP("Copper",$O$4:$P$5,2,TRUE))</f>
        <v>3.2299999999999998E-3</v>
      </c>
      <c r="AG8" s="75">
        <f>1+AF8*($L$4-75)</f>
        <v>1</v>
      </c>
      <c r="AH8" s="210"/>
      <c r="AI8" s="150" t="e">
        <f>(AA8*AB8*AH8*AE8*AG8)/1000</f>
        <v>#N/A</v>
      </c>
      <c r="AJ8" s="74">
        <f>$V$10</f>
        <v>240</v>
      </c>
      <c r="AK8" s="151" t="e">
        <f>AI8/AJ8</f>
        <v>#N/A</v>
      </c>
      <c r="AL8" s="548"/>
      <c r="AM8" s="548"/>
    </row>
    <row r="9" spans="2:39" x14ac:dyDescent="0.25">
      <c r="B9" s="75">
        <v>10</v>
      </c>
      <c r="C9" s="74">
        <f t="shared" si="0"/>
        <v>6530.0010000000002</v>
      </c>
      <c r="D9" s="75">
        <v>10380</v>
      </c>
      <c r="F9" s="75">
        <v>10</v>
      </c>
      <c r="G9" s="74">
        <v>7</v>
      </c>
      <c r="H9" s="75">
        <v>1.24</v>
      </c>
      <c r="I9" s="74">
        <v>1.29</v>
      </c>
      <c r="J9" s="75">
        <v>2.04</v>
      </c>
      <c r="K9" s="114"/>
      <c r="L9" s="114"/>
      <c r="M9" s="114"/>
      <c r="U9" s="563" t="s">
        <v>496</v>
      </c>
      <c r="V9" s="564"/>
      <c r="X9" s="559"/>
      <c r="Y9" s="116"/>
      <c r="Z9" s="75"/>
      <c r="AA9" s="154"/>
      <c r="AB9" s="116"/>
      <c r="AC9" s="210"/>
      <c r="AD9" s="74"/>
      <c r="AE9" s="75"/>
      <c r="AF9" s="216"/>
      <c r="AG9" s="75"/>
      <c r="AH9" s="210"/>
      <c r="AI9" s="150"/>
      <c r="AJ9" s="74"/>
      <c r="AK9" s="151"/>
      <c r="AL9" s="548"/>
      <c r="AM9" s="548"/>
    </row>
    <row r="10" spans="2:39" x14ac:dyDescent="0.25">
      <c r="B10" s="75">
        <v>8</v>
      </c>
      <c r="C10" s="74">
        <f t="shared" si="0"/>
        <v>10380.001</v>
      </c>
      <c r="D10" s="75">
        <v>16510</v>
      </c>
      <c r="F10" s="75">
        <v>8</v>
      </c>
      <c r="G10" s="74">
        <v>7</v>
      </c>
      <c r="H10" s="75">
        <v>0.77800000000000002</v>
      </c>
      <c r="I10" s="74">
        <v>0.80900000000000005</v>
      </c>
      <c r="J10" s="75">
        <v>1.28</v>
      </c>
      <c r="K10" s="114"/>
      <c r="L10" s="114"/>
      <c r="M10" s="114"/>
      <c r="U10" s="212" t="s">
        <v>519</v>
      </c>
      <c r="V10" s="80">
        <v>240</v>
      </c>
      <c r="X10" s="559"/>
      <c r="Y10" s="116"/>
      <c r="Z10" s="75"/>
      <c r="AA10" s="154"/>
      <c r="AB10" s="116"/>
      <c r="AC10" s="210"/>
      <c r="AD10" s="74"/>
      <c r="AE10" s="75"/>
      <c r="AF10" s="216"/>
      <c r="AG10" s="75"/>
      <c r="AH10" s="210"/>
      <c r="AI10" s="150"/>
      <c r="AJ10" s="74"/>
      <c r="AK10" s="151"/>
      <c r="AL10" s="548"/>
      <c r="AM10" s="548"/>
    </row>
    <row r="11" spans="2:39" x14ac:dyDescent="0.25">
      <c r="B11" s="75">
        <v>6</v>
      </c>
      <c r="C11" s="74">
        <f t="shared" si="0"/>
        <v>16510.001</v>
      </c>
      <c r="D11" s="75">
        <v>26240</v>
      </c>
      <c r="F11" s="75">
        <v>6</v>
      </c>
      <c r="G11" s="74">
        <v>7</v>
      </c>
      <c r="H11" s="75">
        <v>0.49099999999999999</v>
      </c>
      <c r="I11" s="74">
        <v>0.51</v>
      </c>
      <c r="J11" s="75">
        <v>0.80800000000000005</v>
      </c>
      <c r="K11" s="114"/>
      <c r="L11" s="114"/>
      <c r="M11" s="114"/>
      <c r="U11" s="214" t="s">
        <v>517</v>
      </c>
      <c r="V11" s="82">
        <f>Calculations!AO6</f>
        <v>12.5</v>
      </c>
      <c r="X11" s="560"/>
      <c r="Y11" s="164"/>
      <c r="Z11" s="82"/>
      <c r="AA11" s="156"/>
      <c r="AB11" s="226"/>
      <c r="AC11" s="211"/>
      <c r="AD11" s="81"/>
      <c r="AE11" s="82"/>
      <c r="AF11" s="217"/>
      <c r="AG11" s="81"/>
      <c r="AH11" s="211"/>
      <c r="AI11" s="157"/>
      <c r="AJ11" s="81"/>
      <c r="AK11" s="158"/>
      <c r="AL11" s="549"/>
      <c r="AM11" s="549"/>
    </row>
    <row r="12" spans="2:39" x14ac:dyDescent="0.25">
      <c r="B12" s="75">
        <v>4</v>
      </c>
      <c r="C12" s="74">
        <f t="shared" si="0"/>
        <v>26240.001</v>
      </c>
      <c r="D12" s="75">
        <v>41740</v>
      </c>
      <c r="F12" s="75">
        <v>4</v>
      </c>
      <c r="G12" s="74">
        <v>7</v>
      </c>
      <c r="H12" s="75">
        <v>0.308</v>
      </c>
      <c r="I12" s="74">
        <v>0.32100000000000001</v>
      </c>
      <c r="J12" s="75">
        <v>0.50800000000000001</v>
      </c>
      <c r="K12" s="114"/>
      <c r="L12" s="114"/>
      <c r="M12" s="114"/>
      <c r="AE12" s="114"/>
      <c r="AF12" s="159"/>
      <c r="AG12" s="159"/>
      <c r="AH12" s="160"/>
      <c r="AI12" s="159"/>
      <c r="AJ12" s="160"/>
      <c r="AK12" s="161"/>
      <c r="AL12" s="160"/>
    </row>
    <row r="13" spans="2:39" x14ac:dyDescent="0.25">
      <c r="B13" s="75">
        <v>3</v>
      </c>
      <c r="C13" s="74">
        <f t="shared" si="0"/>
        <v>41740.000999999997</v>
      </c>
      <c r="D13" s="75">
        <v>52620</v>
      </c>
      <c r="F13" s="75">
        <v>3</v>
      </c>
      <c r="G13" s="74">
        <v>7</v>
      </c>
      <c r="H13" s="75">
        <v>0.245</v>
      </c>
      <c r="I13" s="74">
        <v>0.254</v>
      </c>
      <c r="J13" s="75">
        <v>0.40300000000000002</v>
      </c>
      <c r="K13" s="114"/>
      <c r="L13" s="114"/>
      <c r="M13" s="114"/>
      <c r="X13" s="71"/>
      <c r="Y13" s="71"/>
      <c r="Z13" s="71"/>
      <c r="AA13" s="71"/>
      <c r="AB13" s="71"/>
      <c r="AC13" s="71"/>
    </row>
    <row r="14" spans="2:39" x14ac:dyDescent="0.25">
      <c r="B14" s="75">
        <v>2</v>
      </c>
      <c r="C14" s="74">
        <f t="shared" si="0"/>
        <v>52620.000999999997</v>
      </c>
      <c r="D14" s="75">
        <v>66360</v>
      </c>
      <c r="F14" s="75">
        <v>2</v>
      </c>
      <c r="G14" s="74">
        <v>7</v>
      </c>
      <c r="H14" s="75">
        <v>0.19400000000000001</v>
      </c>
      <c r="I14" s="74">
        <v>0.20100000000000001</v>
      </c>
      <c r="J14" s="75">
        <v>0.31900000000000001</v>
      </c>
      <c r="K14" s="114"/>
      <c r="L14" s="114"/>
      <c r="M14" s="114"/>
      <c r="X14" s="71"/>
      <c r="AA14" s="71"/>
      <c r="AB14" s="71"/>
      <c r="AC14" s="71"/>
      <c r="AD14" s="71"/>
      <c r="AE14" s="71"/>
    </row>
    <row r="15" spans="2:39" x14ac:dyDescent="0.25">
      <c r="B15" s="75">
        <v>1</v>
      </c>
      <c r="C15" s="74">
        <f t="shared" si="0"/>
        <v>66360.001000000004</v>
      </c>
      <c r="D15" s="75">
        <v>83690</v>
      </c>
      <c r="F15" s="75">
        <v>1</v>
      </c>
      <c r="G15" s="74">
        <v>19</v>
      </c>
      <c r="H15" s="75">
        <v>0.154</v>
      </c>
      <c r="I15" s="74">
        <v>0.16</v>
      </c>
      <c r="J15" s="75">
        <v>0.253</v>
      </c>
      <c r="K15" s="114"/>
      <c r="L15" s="114"/>
      <c r="M15" s="114"/>
      <c r="AA15" s="71"/>
      <c r="AB15" s="71"/>
      <c r="AC15" s="71"/>
      <c r="AD15" s="71"/>
      <c r="AE15" s="71"/>
    </row>
    <row r="16" spans="2:39" x14ac:dyDescent="0.25">
      <c r="B16" s="89" t="s">
        <v>19</v>
      </c>
      <c r="C16" s="74">
        <f t="shared" si="0"/>
        <v>83690.001000000004</v>
      </c>
      <c r="D16" s="75">
        <v>105600</v>
      </c>
      <c r="F16" s="89" t="s">
        <v>19</v>
      </c>
      <c r="G16" s="62">
        <v>19</v>
      </c>
      <c r="H16" s="75">
        <v>0.122</v>
      </c>
      <c r="I16" s="74">
        <v>0.127</v>
      </c>
      <c r="J16" s="75">
        <v>0.20100000000000001</v>
      </c>
      <c r="K16" s="114"/>
      <c r="L16" s="114"/>
      <c r="M16" s="114"/>
      <c r="Y16" s="71"/>
      <c r="Z16" s="71"/>
      <c r="AA16" s="71"/>
      <c r="AB16" s="71"/>
      <c r="AC16" s="71"/>
      <c r="AD16" s="71"/>
      <c r="AE16" s="71"/>
    </row>
    <row r="17" spans="2:39" x14ac:dyDescent="0.25">
      <c r="B17" s="89" t="s">
        <v>29</v>
      </c>
      <c r="C17" s="74">
        <f t="shared" si="0"/>
        <v>105600.001</v>
      </c>
      <c r="D17" s="75">
        <v>133100</v>
      </c>
      <c r="F17" s="89" t="s">
        <v>29</v>
      </c>
      <c r="G17" s="62">
        <v>19</v>
      </c>
      <c r="H17" s="75">
        <v>9.6699999999999994E-2</v>
      </c>
      <c r="I17" s="74">
        <v>0.10100000000000001</v>
      </c>
      <c r="J17" s="75">
        <v>0.159</v>
      </c>
      <c r="K17" s="114"/>
      <c r="L17" s="114"/>
      <c r="M17" s="114"/>
      <c r="Y17" s="71"/>
      <c r="Z17" s="71"/>
      <c r="AA17" s="71"/>
      <c r="AB17" s="71"/>
      <c r="AC17" s="71"/>
      <c r="AD17" s="71"/>
      <c r="AE17" s="71"/>
    </row>
    <row r="18" spans="2:39" x14ac:dyDescent="0.25">
      <c r="B18" s="75" t="s">
        <v>28</v>
      </c>
      <c r="C18" s="74">
        <f t="shared" si="0"/>
        <v>133100.00099999999</v>
      </c>
      <c r="D18" s="75">
        <v>167800</v>
      </c>
      <c r="F18" s="75" t="s">
        <v>28</v>
      </c>
      <c r="G18" s="74">
        <v>19</v>
      </c>
      <c r="H18" s="75">
        <v>7.6600000000000001E-2</v>
      </c>
      <c r="I18" s="74">
        <v>7.9699999999999993E-2</v>
      </c>
      <c r="J18" s="75">
        <v>0.126</v>
      </c>
      <c r="K18" s="114"/>
      <c r="L18" s="114"/>
      <c r="M18" s="114"/>
      <c r="AB18" s="71"/>
      <c r="AC18" s="71"/>
      <c r="AD18" s="71"/>
      <c r="AE18" s="71"/>
    </row>
    <row r="19" spans="2:39" x14ac:dyDescent="0.25">
      <c r="B19" s="75" t="s">
        <v>27</v>
      </c>
      <c r="C19" s="74">
        <f t="shared" si="0"/>
        <v>167800.00099999999</v>
      </c>
      <c r="D19" s="75">
        <v>211600</v>
      </c>
      <c r="F19" s="75" t="s">
        <v>27</v>
      </c>
      <c r="G19" s="74">
        <v>19</v>
      </c>
      <c r="H19" s="75">
        <v>6.08E-2</v>
      </c>
      <c r="I19" s="74">
        <v>6.2600000000000003E-2</v>
      </c>
      <c r="J19" s="75">
        <v>0.1</v>
      </c>
      <c r="K19" s="114"/>
      <c r="L19" s="114"/>
      <c r="M19" s="114"/>
      <c r="AB19" s="71"/>
      <c r="AC19" s="71"/>
      <c r="AD19" s="71"/>
      <c r="AE19" s="71"/>
    </row>
    <row r="20" spans="2:39" x14ac:dyDescent="0.25">
      <c r="B20" s="75">
        <v>250</v>
      </c>
      <c r="C20" s="74">
        <f t="shared" si="0"/>
        <v>211600.00099999999</v>
      </c>
      <c r="D20" s="75">
        <v>250000</v>
      </c>
      <c r="F20" s="75">
        <v>250</v>
      </c>
      <c r="G20" s="74">
        <v>37</v>
      </c>
      <c r="H20" s="75">
        <v>5.1499999999999997E-2</v>
      </c>
      <c r="I20" s="74">
        <v>5.3499999999999999E-2</v>
      </c>
      <c r="J20" s="75">
        <v>8.4699999999999998E-2</v>
      </c>
      <c r="K20" s="114"/>
      <c r="L20" s="114"/>
      <c r="M20" s="114"/>
      <c r="AB20" s="71"/>
      <c r="AC20" s="71"/>
      <c r="AD20" s="71"/>
      <c r="AE20" s="71"/>
    </row>
    <row r="21" spans="2:39" x14ac:dyDescent="0.25">
      <c r="B21" s="75">
        <v>300</v>
      </c>
      <c r="C21" s="74">
        <f t="shared" si="0"/>
        <v>250000.00099999999</v>
      </c>
      <c r="D21" s="75">
        <v>300000</v>
      </c>
      <c r="F21" s="75">
        <v>300</v>
      </c>
      <c r="G21" s="74">
        <v>37</v>
      </c>
      <c r="H21" s="75">
        <v>4.2900000000000001E-2</v>
      </c>
      <c r="I21" s="74">
        <v>4.4600000000000001E-2</v>
      </c>
      <c r="J21" s="75">
        <v>7.0699999999999999E-2</v>
      </c>
      <c r="K21" s="114"/>
      <c r="L21" s="114"/>
      <c r="M21" s="114"/>
    </row>
    <row r="22" spans="2:39" x14ac:dyDescent="0.25">
      <c r="B22" s="75">
        <v>350</v>
      </c>
      <c r="C22" s="74">
        <f t="shared" si="0"/>
        <v>300000.00099999999</v>
      </c>
      <c r="D22" s="75">
        <v>350000</v>
      </c>
      <c r="F22" s="75">
        <v>350</v>
      </c>
      <c r="G22" s="74">
        <v>37</v>
      </c>
      <c r="H22" s="75">
        <v>3.6700000000000003E-2</v>
      </c>
      <c r="I22" s="74">
        <v>3.8199999999999998E-2</v>
      </c>
      <c r="J22" s="75">
        <v>6.0499999999999998E-2</v>
      </c>
      <c r="K22" s="114"/>
      <c r="L22" s="114"/>
      <c r="M22" s="114"/>
    </row>
    <row r="23" spans="2:39" x14ac:dyDescent="0.25">
      <c r="B23" s="75">
        <v>400</v>
      </c>
      <c r="C23" s="74">
        <f t="shared" si="0"/>
        <v>350000.00099999999</v>
      </c>
      <c r="D23" s="75">
        <v>400000</v>
      </c>
      <c r="F23" s="75">
        <v>400</v>
      </c>
      <c r="G23" s="74">
        <v>37</v>
      </c>
      <c r="H23" s="75">
        <v>3.2099999999999997E-2</v>
      </c>
      <c r="I23" s="74">
        <v>3.3099999999999997E-2</v>
      </c>
      <c r="J23" s="75">
        <v>5.2900000000000003E-2</v>
      </c>
      <c r="K23" s="114"/>
      <c r="L23" s="114"/>
      <c r="M23" s="114"/>
    </row>
    <row r="24" spans="2:39" x14ac:dyDescent="0.25">
      <c r="B24" s="75">
        <v>500</v>
      </c>
      <c r="C24" s="74">
        <f t="shared" si="0"/>
        <v>400000.00099999999</v>
      </c>
      <c r="D24" s="75">
        <v>500000</v>
      </c>
      <c r="F24" s="75">
        <v>500</v>
      </c>
      <c r="G24" s="74">
        <v>37</v>
      </c>
      <c r="H24" s="75">
        <v>2.58E-2</v>
      </c>
      <c r="I24" s="74">
        <v>2.6499999999999999E-2</v>
      </c>
      <c r="J24" s="75">
        <v>4.24E-2</v>
      </c>
      <c r="K24" s="114"/>
      <c r="L24" s="114"/>
      <c r="M24" s="114"/>
    </row>
    <row r="25" spans="2:39" x14ac:dyDescent="0.25">
      <c r="B25" s="75">
        <v>600</v>
      </c>
      <c r="C25" s="74">
        <f t="shared" si="0"/>
        <v>500000.00099999999</v>
      </c>
      <c r="D25" s="75">
        <v>600000</v>
      </c>
      <c r="F25" s="75">
        <v>600</v>
      </c>
      <c r="G25" s="74">
        <v>61</v>
      </c>
      <c r="H25" s="75">
        <v>2.1399999999999999E-2</v>
      </c>
      <c r="I25" s="74">
        <v>2.23E-2</v>
      </c>
      <c r="J25" s="75">
        <v>3.5299999999999998E-2</v>
      </c>
      <c r="K25" s="114"/>
      <c r="L25" s="114"/>
      <c r="M25" s="114"/>
    </row>
    <row r="26" spans="2:39" x14ac:dyDescent="0.25">
      <c r="B26" s="75">
        <v>700</v>
      </c>
      <c r="C26" s="74">
        <f t="shared" si="0"/>
        <v>600000.00100000005</v>
      </c>
      <c r="D26" s="75">
        <v>700000</v>
      </c>
      <c r="F26" s="75">
        <v>700</v>
      </c>
      <c r="G26" s="74">
        <v>61</v>
      </c>
      <c r="H26" s="75">
        <v>1.84E-2</v>
      </c>
      <c r="I26" s="74">
        <v>1.89E-2</v>
      </c>
      <c r="J26" s="75">
        <v>3.0300000000000001E-2</v>
      </c>
      <c r="K26" s="114"/>
      <c r="L26" s="114"/>
      <c r="M26" s="114"/>
      <c r="Z26" s="478" t="s">
        <v>12</v>
      </c>
      <c r="AA26" s="478"/>
      <c r="AB26" s="478"/>
      <c r="AD26" s="478" t="s">
        <v>15</v>
      </c>
      <c r="AE26" s="478"/>
      <c r="AF26" s="478"/>
      <c r="AH26" s="550" t="s">
        <v>543</v>
      </c>
      <c r="AI26" s="550"/>
      <c r="AJ26" s="550"/>
      <c r="AK26" s="550"/>
    </row>
    <row r="27" spans="2:39" ht="15" customHeight="1" x14ac:dyDescent="0.25">
      <c r="B27" s="75">
        <v>750</v>
      </c>
      <c r="C27" s="74">
        <f t="shared" si="0"/>
        <v>700000.00100000005</v>
      </c>
      <c r="D27" s="75">
        <v>750000</v>
      </c>
      <c r="F27" s="75">
        <v>750</v>
      </c>
      <c r="G27" s="74">
        <v>61</v>
      </c>
      <c r="H27" s="75">
        <v>1.7100000000000001E-2</v>
      </c>
      <c r="I27" s="74">
        <v>1.7600000000000001E-2</v>
      </c>
      <c r="J27" s="75">
        <v>2.8199999999999999E-2</v>
      </c>
      <c r="K27" s="114"/>
      <c r="L27" s="114"/>
      <c r="M27" s="114"/>
      <c r="Z27" s="5"/>
      <c r="AA27" s="5"/>
      <c r="AB27" s="5"/>
    </row>
    <row r="28" spans="2:39" ht="15" customHeight="1" x14ac:dyDescent="0.25">
      <c r="B28" s="75">
        <v>800</v>
      </c>
      <c r="C28" s="74">
        <f t="shared" si="0"/>
        <v>750000.00100000005</v>
      </c>
      <c r="D28" s="75">
        <v>800000</v>
      </c>
      <c r="F28" s="75">
        <v>800</v>
      </c>
      <c r="G28" s="74">
        <v>61</v>
      </c>
      <c r="H28" s="75">
        <v>1.61E-2</v>
      </c>
      <c r="I28" s="74">
        <v>1.66E-2</v>
      </c>
      <c r="J28" s="75">
        <v>2.6499999999999999E-2</v>
      </c>
      <c r="K28" s="114"/>
      <c r="L28" s="114"/>
      <c r="M28" s="114"/>
      <c r="Z28" s="446" t="s">
        <v>540</v>
      </c>
      <c r="AA28" s="446"/>
      <c r="AB28" s="446"/>
      <c r="AD28" s="551" t="s">
        <v>234</v>
      </c>
      <c r="AE28" s="552"/>
      <c r="AF28" s="553"/>
      <c r="AH28" s="231" t="s">
        <v>541</v>
      </c>
      <c r="AI28" s="231" t="s">
        <v>542</v>
      </c>
      <c r="AJ28" s="231" t="s">
        <v>113</v>
      </c>
      <c r="AK28" s="299" t="s">
        <v>11</v>
      </c>
    </row>
    <row r="29" spans="2:39" x14ac:dyDescent="0.25">
      <c r="B29" s="75">
        <v>900</v>
      </c>
      <c r="C29" s="74">
        <f t="shared" si="0"/>
        <v>800000.00100000005</v>
      </c>
      <c r="D29" s="75">
        <v>900000</v>
      </c>
      <c r="F29" s="75">
        <v>900</v>
      </c>
      <c r="G29" s="74">
        <v>61</v>
      </c>
      <c r="H29" s="75">
        <v>1.43E-2</v>
      </c>
      <c r="I29" s="74">
        <v>1.47E-2</v>
      </c>
      <c r="J29" s="75">
        <v>2.35E-2</v>
      </c>
      <c r="K29" s="114"/>
      <c r="L29" s="114"/>
      <c r="M29" s="114"/>
      <c r="Z29" s="57" t="s">
        <v>18</v>
      </c>
      <c r="AA29" s="37" t="s">
        <v>54</v>
      </c>
      <c r="AB29" s="37" t="s">
        <v>90</v>
      </c>
      <c r="AD29" s="57" t="s">
        <v>18</v>
      </c>
      <c r="AE29" s="14" t="s">
        <v>91</v>
      </c>
      <c r="AF29" s="14" t="s">
        <v>90</v>
      </c>
      <c r="AH29" s="288">
        <f>Calculations!AT4</f>
        <v>10</v>
      </c>
      <c r="AI29" s="288">
        <f>AH29</f>
        <v>10</v>
      </c>
      <c r="AJ29" s="230">
        <f>Calculations!AV4</f>
        <v>6</v>
      </c>
      <c r="AK29" s="297">
        <f>Calculations!AT4</f>
        <v>10</v>
      </c>
      <c r="AM29" s="311"/>
    </row>
    <row r="30" spans="2:39" x14ac:dyDescent="0.25">
      <c r="B30" s="75">
        <v>1000</v>
      </c>
      <c r="C30" s="74">
        <f t="shared" si="0"/>
        <v>900000.00100000005</v>
      </c>
      <c r="D30" s="75">
        <v>1000000</v>
      </c>
      <c r="F30" s="75">
        <v>1000</v>
      </c>
      <c r="G30" s="74">
        <v>61</v>
      </c>
      <c r="H30" s="75">
        <v>1.29E-2</v>
      </c>
      <c r="I30" s="74">
        <v>1.32E-2</v>
      </c>
      <c r="J30" s="75">
        <v>2.12E-2</v>
      </c>
      <c r="K30" s="114"/>
      <c r="L30" s="114"/>
      <c r="M30" s="114"/>
      <c r="Z30" s="15">
        <v>14</v>
      </c>
      <c r="AA30" s="99">
        <v>1</v>
      </c>
      <c r="AB30" s="99">
        <v>15</v>
      </c>
      <c r="AD30" s="228">
        <v>14</v>
      </c>
      <c r="AE30" s="15">
        <v>1</v>
      </c>
      <c r="AF30" s="99">
        <v>20</v>
      </c>
      <c r="AH30" s="288">
        <f>Calculations!AT5</f>
        <v>10</v>
      </c>
      <c r="AI30" s="288">
        <f t="shared" ref="AI30:AI33" si="1">AH30</f>
        <v>10</v>
      </c>
      <c r="AJ30" s="230">
        <f>Calculations!AV5</f>
        <v>10</v>
      </c>
      <c r="AK30" s="297">
        <f>Calculations!AT5</f>
        <v>10</v>
      </c>
      <c r="AM30" s="311"/>
    </row>
    <row r="31" spans="2:39" x14ac:dyDescent="0.25">
      <c r="B31" s="75">
        <v>1250</v>
      </c>
      <c r="C31" s="74">
        <f t="shared" si="0"/>
        <v>1000000.001</v>
      </c>
      <c r="D31" s="75">
        <v>1250000</v>
      </c>
      <c r="F31" s="75">
        <v>1250</v>
      </c>
      <c r="G31" s="74">
        <v>91</v>
      </c>
      <c r="H31" s="75">
        <v>1.03E-2</v>
      </c>
      <c r="I31" s="74">
        <v>1.06E-2</v>
      </c>
      <c r="J31" s="75">
        <v>1.6899999999999998E-2</v>
      </c>
      <c r="K31" s="114"/>
      <c r="L31" s="114"/>
      <c r="M31" s="114"/>
      <c r="Z31" s="16">
        <v>12</v>
      </c>
      <c r="AA31" s="91">
        <v>15.000999999999999</v>
      </c>
      <c r="AB31" s="91">
        <v>20</v>
      </c>
      <c r="AD31" s="95">
        <v>12</v>
      </c>
      <c r="AE31" s="16">
        <f>AF30+0.001</f>
        <v>20.001000000000001</v>
      </c>
      <c r="AF31" s="91">
        <v>25</v>
      </c>
      <c r="AH31" s="288">
        <f>Calculations!AT6</f>
        <v>10</v>
      </c>
      <c r="AI31" s="288">
        <f t="shared" si="1"/>
        <v>10</v>
      </c>
      <c r="AJ31" s="230">
        <f>Calculations!AV6</f>
        <v>10</v>
      </c>
      <c r="AK31" s="297">
        <f>Calculations!AT6</f>
        <v>10</v>
      </c>
      <c r="AM31" s="311"/>
    </row>
    <row r="32" spans="2:39" x14ac:dyDescent="0.25">
      <c r="B32" s="75">
        <v>1500</v>
      </c>
      <c r="C32" s="74">
        <f t="shared" si="0"/>
        <v>1250000.0009999999</v>
      </c>
      <c r="D32" s="75">
        <v>1500000</v>
      </c>
      <c r="F32" s="75">
        <v>1500</v>
      </c>
      <c r="G32" s="74">
        <v>91</v>
      </c>
      <c r="H32" s="75">
        <v>8.5800000000000008E-3</v>
      </c>
      <c r="I32" s="74">
        <v>8.8299999999999993E-3</v>
      </c>
      <c r="J32" s="75">
        <v>1.41E-2</v>
      </c>
      <c r="K32" s="114"/>
      <c r="L32" s="114"/>
      <c r="M32" s="114"/>
      <c r="Z32" s="16">
        <v>10</v>
      </c>
      <c r="AA32" s="91">
        <v>20.001000000000001</v>
      </c>
      <c r="AB32" s="91">
        <v>60</v>
      </c>
      <c r="AD32" s="95">
        <v>10</v>
      </c>
      <c r="AE32" s="16">
        <f t="shared" ref="AE32:AE57" si="2">AF31+0.001</f>
        <v>25.001000000000001</v>
      </c>
      <c r="AF32" s="91">
        <v>35</v>
      </c>
      <c r="AH32" s="288">
        <f>Calculations!AT7</f>
        <v>10</v>
      </c>
      <c r="AI32" s="288">
        <f t="shared" si="1"/>
        <v>10</v>
      </c>
      <c r="AJ32" s="230">
        <f>Calculations!AV7</f>
        <v>10</v>
      </c>
      <c r="AK32" s="297">
        <f>Calculations!AT7</f>
        <v>10</v>
      </c>
      <c r="AM32" s="311"/>
    </row>
    <row r="33" spans="2:39" x14ac:dyDescent="0.25">
      <c r="B33" s="75">
        <v>1750</v>
      </c>
      <c r="C33" s="74">
        <f t="shared" si="0"/>
        <v>1500000.0009999999</v>
      </c>
      <c r="D33" s="75">
        <v>1750000</v>
      </c>
      <c r="F33" s="75">
        <v>1750</v>
      </c>
      <c r="G33" s="74">
        <v>91</v>
      </c>
      <c r="H33" s="75">
        <v>7.3499999999999998E-3</v>
      </c>
      <c r="I33" s="74">
        <v>7.5599999999999999E-3</v>
      </c>
      <c r="J33" s="75">
        <v>1.21E-2</v>
      </c>
      <c r="K33" s="114"/>
      <c r="L33" s="114"/>
      <c r="M33" s="114"/>
      <c r="Z33" s="16">
        <v>8</v>
      </c>
      <c r="AA33" s="91">
        <v>60.000999999999998</v>
      </c>
      <c r="AB33" s="91">
        <v>100</v>
      </c>
      <c r="AD33" s="95">
        <v>8</v>
      </c>
      <c r="AE33" s="16">
        <f t="shared" si="2"/>
        <v>35.000999999999998</v>
      </c>
      <c r="AF33" s="91">
        <v>50</v>
      </c>
      <c r="AH33" s="288">
        <f>Calculations!AT8</f>
        <v>10</v>
      </c>
      <c r="AI33" s="288">
        <f t="shared" si="1"/>
        <v>10</v>
      </c>
      <c r="AJ33" s="230">
        <f>Calculations!AV8</f>
        <v>10</v>
      </c>
      <c r="AK33" s="297">
        <f>Calculations!AT8</f>
        <v>10</v>
      </c>
      <c r="AM33" s="311"/>
    </row>
    <row r="34" spans="2:39" x14ac:dyDescent="0.25">
      <c r="B34" s="82">
        <v>2000</v>
      </c>
      <c r="C34" s="81">
        <f t="shared" si="0"/>
        <v>1750000.0009999999</v>
      </c>
      <c r="D34" s="82">
        <v>2000000</v>
      </c>
      <c r="F34" s="82">
        <v>2000</v>
      </c>
      <c r="G34" s="81">
        <v>91</v>
      </c>
      <c r="H34" s="82">
        <v>6.43E-3</v>
      </c>
      <c r="I34" s="81">
        <v>6.62E-3</v>
      </c>
      <c r="J34" s="82">
        <v>1.06E-2</v>
      </c>
      <c r="K34" s="114"/>
      <c r="L34" s="114"/>
      <c r="M34" s="114"/>
      <c r="Z34" s="16">
        <v>6</v>
      </c>
      <c r="AA34" s="91">
        <v>100.001</v>
      </c>
      <c r="AB34" s="91">
        <v>200</v>
      </c>
      <c r="AD34" s="95">
        <v>6</v>
      </c>
      <c r="AE34" s="16">
        <f t="shared" si="2"/>
        <v>50.000999999999998</v>
      </c>
      <c r="AF34" s="91">
        <v>65</v>
      </c>
    </row>
    <row r="35" spans="2:39" x14ac:dyDescent="0.25">
      <c r="K35" s="114"/>
      <c r="L35" s="114"/>
      <c r="M35" s="114"/>
      <c r="Z35" s="16">
        <v>4</v>
      </c>
      <c r="AA35" s="91">
        <v>200.001</v>
      </c>
      <c r="AB35" s="91">
        <v>300</v>
      </c>
      <c r="AD35" s="95">
        <v>4</v>
      </c>
      <c r="AE35" s="16">
        <f t="shared" si="2"/>
        <v>65.001000000000005</v>
      </c>
      <c r="AF35" s="91">
        <v>85</v>
      </c>
    </row>
    <row r="36" spans="2:39" x14ac:dyDescent="0.25">
      <c r="K36" s="114"/>
      <c r="L36" s="114"/>
      <c r="M36" s="114"/>
      <c r="Z36" s="16">
        <v>3</v>
      </c>
      <c r="AA36" s="91">
        <v>300.00099999999998</v>
      </c>
      <c r="AB36" s="91">
        <v>400</v>
      </c>
      <c r="AD36" s="95">
        <v>3</v>
      </c>
      <c r="AE36" s="16">
        <f t="shared" si="2"/>
        <v>85.001000000000005</v>
      </c>
      <c r="AF36" s="91">
        <v>100</v>
      </c>
    </row>
    <row r="37" spans="2:39" x14ac:dyDescent="0.25">
      <c r="K37" s="114"/>
      <c r="L37" s="114"/>
      <c r="M37" s="114"/>
      <c r="Z37" s="16">
        <v>2</v>
      </c>
      <c r="AA37" s="91">
        <v>400.00099999999998</v>
      </c>
      <c r="AB37" s="91">
        <v>500</v>
      </c>
      <c r="AD37" s="95">
        <v>2</v>
      </c>
      <c r="AE37" s="16">
        <f t="shared" si="2"/>
        <v>100.001</v>
      </c>
      <c r="AF37" s="91">
        <v>115</v>
      </c>
    </row>
    <row r="38" spans="2:39" x14ac:dyDescent="0.25">
      <c r="K38" s="114"/>
      <c r="L38" s="114"/>
      <c r="M38" s="114"/>
      <c r="Z38" s="16">
        <v>1</v>
      </c>
      <c r="AA38" s="91">
        <v>500.00099999999998</v>
      </c>
      <c r="AB38" s="91">
        <v>600</v>
      </c>
      <c r="AD38" s="95">
        <v>1</v>
      </c>
      <c r="AE38" s="16">
        <f t="shared" si="2"/>
        <v>115.001</v>
      </c>
      <c r="AF38" s="91">
        <v>130</v>
      </c>
    </row>
    <row r="39" spans="2:39" x14ac:dyDescent="0.25">
      <c r="Z39" s="21" t="s">
        <v>19</v>
      </c>
      <c r="AA39" s="91">
        <v>600.00099999999998</v>
      </c>
      <c r="AB39" s="91">
        <v>800</v>
      </c>
      <c r="AD39" s="229" t="s">
        <v>19</v>
      </c>
      <c r="AE39" s="16">
        <f t="shared" si="2"/>
        <v>130.001</v>
      </c>
      <c r="AF39" s="91">
        <v>150</v>
      </c>
    </row>
    <row r="40" spans="2:39" x14ac:dyDescent="0.25">
      <c r="Z40" s="21" t="s">
        <v>29</v>
      </c>
      <c r="AA40" s="91">
        <v>800.00099999999998</v>
      </c>
      <c r="AB40" s="91">
        <v>1000</v>
      </c>
      <c r="AD40" s="229" t="s">
        <v>29</v>
      </c>
      <c r="AE40" s="16">
        <f t="shared" si="2"/>
        <v>150.001</v>
      </c>
      <c r="AF40" s="91">
        <v>175</v>
      </c>
    </row>
    <row r="41" spans="2:39" x14ac:dyDescent="0.25">
      <c r="Z41" s="21" t="s">
        <v>28</v>
      </c>
      <c r="AA41" s="91">
        <v>1000.001</v>
      </c>
      <c r="AB41" s="91">
        <v>1200</v>
      </c>
      <c r="AD41" s="229" t="s">
        <v>28</v>
      </c>
      <c r="AE41" s="16">
        <f t="shared" si="2"/>
        <v>175.001</v>
      </c>
      <c r="AF41" s="91">
        <v>200</v>
      </c>
    </row>
    <row r="42" spans="2:39" x14ac:dyDescent="0.25">
      <c r="Z42" s="21" t="s">
        <v>27</v>
      </c>
      <c r="AA42" s="91">
        <v>1200.001</v>
      </c>
      <c r="AB42" s="91">
        <v>1600</v>
      </c>
      <c r="AD42" s="229" t="s">
        <v>27</v>
      </c>
      <c r="AE42" s="16">
        <f t="shared" si="2"/>
        <v>200.001</v>
      </c>
      <c r="AF42" s="91">
        <v>230</v>
      </c>
    </row>
    <row r="43" spans="2:39" x14ac:dyDescent="0.25">
      <c r="Z43" s="16">
        <v>250</v>
      </c>
      <c r="AA43" s="91">
        <v>1600.001</v>
      </c>
      <c r="AB43" s="91">
        <v>2000</v>
      </c>
      <c r="AD43" s="95">
        <v>250</v>
      </c>
      <c r="AE43" s="16">
        <f t="shared" si="2"/>
        <v>230.001</v>
      </c>
      <c r="AF43" s="91">
        <v>255</v>
      </c>
    </row>
    <row r="44" spans="2:39" x14ac:dyDescent="0.25">
      <c r="Z44" s="16">
        <v>350</v>
      </c>
      <c r="AA44" s="91">
        <v>2000.001</v>
      </c>
      <c r="AB44" s="91">
        <v>2500</v>
      </c>
      <c r="AD44" s="95">
        <v>300</v>
      </c>
      <c r="AE44" s="16">
        <f t="shared" si="2"/>
        <v>255.001</v>
      </c>
      <c r="AF44" s="91">
        <v>285</v>
      </c>
    </row>
    <row r="45" spans="2:39" x14ac:dyDescent="0.25">
      <c r="Z45" s="16">
        <v>400</v>
      </c>
      <c r="AA45" s="91">
        <v>2500.0010000000002</v>
      </c>
      <c r="AB45" s="91">
        <v>3000</v>
      </c>
      <c r="AD45" s="95">
        <v>350</v>
      </c>
      <c r="AE45" s="16">
        <f t="shared" si="2"/>
        <v>285.00099999999998</v>
      </c>
      <c r="AF45" s="91">
        <v>310</v>
      </c>
    </row>
    <row r="46" spans="2:39" x14ac:dyDescent="0.25">
      <c r="Z46" s="16">
        <v>500</v>
      </c>
      <c r="AA46" s="91">
        <v>3000.0010000000002</v>
      </c>
      <c r="AB46" s="91">
        <v>4000</v>
      </c>
      <c r="AD46" s="95">
        <v>400</v>
      </c>
      <c r="AE46" s="16">
        <f t="shared" si="2"/>
        <v>310.00099999999998</v>
      </c>
      <c r="AF46" s="91">
        <v>335</v>
      </c>
    </row>
    <row r="47" spans="2:39" x14ac:dyDescent="0.25">
      <c r="Z47" s="16">
        <v>700</v>
      </c>
      <c r="AA47" s="91">
        <v>4000.0010000000002</v>
      </c>
      <c r="AB47" s="91">
        <v>5000</v>
      </c>
      <c r="AD47" s="95">
        <v>500</v>
      </c>
      <c r="AE47" s="16">
        <f t="shared" si="2"/>
        <v>335.00099999999998</v>
      </c>
      <c r="AF47" s="91">
        <v>380</v>
      </c>
    </row>
    <row r="48" spans="2:39" x14ac:dyDescent="0.25">
      <c r="Z48" s="92">
        <v>800</v>
      </c>
      <c r="AA48" s="98">
        <v>5000.0010000000002</v>
      </c>
      <c r="AB48" s="98">
        <v>6000</v>
      </c>
      <c r="AD48" s="95">
        <v>600</v>
      </c>
      <c r="AE48" s="16">
        <f t="shared" si="2"/>
        <v>380.00099999999998</v>
      </c>
      <c r="AF48" s="91">
        <v>420</v>
      </c>
    </row>
    <row r="49" spans="30:32" x14ac:dyDescent="0.25">
      <c r="AD49" s="95">
        <v>700</v>
      </c>
      <c r="AE49" s="16">
        <f t="shared" si="2"/>
        <v>420.00099999999998</v>
      </c>
      <c r="AF49" s="91">
        <v>460</v>
      </c>
    </row>
    <row r="50" spans="30:32" x14ac:dyDescent="0.25">
      <c r="AD50" s="95">
        <v>750</v>
      </c>
      <c r="AE50" s="16">
        <f t="shared" si="2"/>
        <v>460.00099999999998</v>
      </c>
      <c r="AF50" s="91">
        <v>475</v>
      </c>
    </row>
    <row r="51" spans="30:32" x14ac:dyDescent="0.25">
      <c r="AD51" s="95">
        <v>800</v>
      </c>
      <c r="AE51" s="16">
        <f t="shared" si="2"/>
        <v>475.00099999999998</v>
      </c>
      <c r="AF51" s="91">
        <v>490</v>
      </c>
    </row>
    <row r="52" spans="30:32" x14ac:dyDescent="0.25">
      <c r="AD52" s="95">
        <v>900</v>
      </c>
      <c r="AE52" s="16">
        <f t="shared" si="2"/>
        <v>490.00099999999998</v>
      </c>
      <c r="AF52" s="91">
        <v>520</v>
      </c>
    </row>
    <row r="53" spans="30:32" x14ac:dyDescent="0.25">
      <c r="AD53" s="95">
        <v>1000</v>
      </c>
      <c r="AE53" s="16">
        <f t="shared" si="2"/>
        <v>520.00099999999998</v>
      </c>
      <c r="AF53" s="91">
        <v>545</v>
      </c>
    </row>
    <row r="54" spans="30:32" x14ac:dyDescent="0.25">
      <c r="AD54" s="95">
        <v>1250</v>
      </c>
      <c r="AE54" s="16">
        <f t="shared" si="2"/>
        <v>545.00099999999998</v>
      </c>
      <c r="AF54" s="91">
        <v>590</v>
      </c>
    </row>
    <row r="55" spans="30:32" x14ac:dyDescent="0.25">
      <c r="AD55" s="95">
        <v>1500</v>
      </c>
      <c r="AE55" s="16">
        <f t="shared" si="2"/>
        <v>590.00099999999998</v>
      </c>
      <c r="AF55" s="91">
        <v>625</v>
      </c>
    </row>
    <row r="56" spans="30:32" x14ac:dyDescent="0.25">
      <c r="AD56" s="95">
        <v>1750</v>
      </c>
      <c r="AE56" s="16">
        <f t="shared" si="2"/>
        <v>625.00099999999998</v>
      </c>
      <c r="AF56" s="91">
        <v>650</v>
      </c>
    </row>
    <row r="57" spans="30:32" x14ac:dyDescent="0.25">
      <c r="AD57" s="227">
        <v>2000</v>
      </c>
      <c r="AE57" s="92">
        <f t="shared" si="2"/>
        <v>650.00099999999998</v>
      </c>
      <c r="AF57" s="98">
        <v>665</v>
      </c>
    </row>
  </sheetData>
  <sortState xmlns:xlrd2="http://schemas.microsoft.com/office/spreadsheetml/2017/richdata2" ref="F6:J37">
    <sortCondition ref="F12"/>
  </sortState>
  <mergeCells count="20">
    <mergeCell ref="Z26:AB26"/>
    <mergeCell ref="Z28:AB28"/>
    <mergeCell ref="AD26:AF26"/>
    <mergeCell ref="AD28:AF28"/>
    <mergeCell ref="B3:D3"/>
    <mergeCell ref="C4:D4"/>
    <mergeCell ref="H3:J3"/>
    <mergeCell ref="L4:M4"/>
    <mergeCell ref="X6:X11"/>
    <mergeCell ref="L3:M3"/>
    <mergeCell ref="O3:P3"/>
    <mergeCell ref="R3:S3"/>
    <mergeCell ref="U9:V9"/>
    <mergeCell ref="X4:X5"/>
    <mergeCell ref="U4:V4"/>
    <mergeCell ref="AL3:AM3"/>
    <mergeCell ref="AL6:AL11"/>
    <mergeCell ref="AL4:AL5"/>
    <mergeCell ref="AM4:AM11"/>
    <mergeCell ref="AH26:AK26"/>
  </mergeCells>
  <conditionalFormatting sqref="AL6:AL11">
    <cfRule type="cellIs" dxfId="49" priority="7" operator="greaterThan">
      <formula>0.01</formula>
    </cfRule>
    <cfRule type="cellIs" dxfId="48" priority="8" operator="equal">
      <formula>0.01</formula>
    </cfRule>
    <cfRule type="cellIs" dxfId="47" priority="9" operator="lessThan">
      <formula>0.01</formula>
    </cfRule>
  </conditionalFormatting>
  <conditionalFormatting sqref="AL4">
    <cfRule type="cellIs" dxfId="46" priority="4" operator="greaterThan">
      <formula>0.02</formula>
    </cfRule>
    <cfRule type="cellIs" dxfId="45" priority="5" operator="equal">
      <formula>0.02</formula>
    </cfRule>
    <cfRule type="cellIs" dxfId="44" priority="6" operator="lessThan">
      <formula>0.02</formula>
    </cfRule>
  </conditionalFormatting>
  <conditionalFormatting sqref="AM4">
    <cfRule type="cellIs" dxfId="43" priority="1" operator="lessThan">
      <formula>0.03</formula>
    </cfRule>
    <cfRule type="cellIs" dxfId="42" priority="2" operator="equal">
      <formula>0.03</formula>
    </cfRule>
    <cfRule type="cellIs" dxfId="41" priority="3" operator="greaterThan">
      <formula>0.03</formula>
    </cfRule>
  </conditionalFormatting>
  <dataValidations disablePrompts="1" count="1">
    <dataValidation type="list" allowBlank="1" showInputMessage="1" showErrorMessage="1" sqref="AD4:AD11" xr:uid="{7A2F2FC4-7379-4123-8916-10F714C26F7E}">
      <formula1>$H$4:$J$4</formula1>
    </dataValidation>
  </dataValidations>
  <pageMargins left="0.7" right="0.7" top="0.75" bottom="0.75" header="0.3" footer="0.3"/>
  <pageSetup orientation="portrait" horizontalDpi="360" verticalDpi="36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966D14-A8FB-4891-B00E-4E6BF7C367CB}">
  <sheetPr codeName="Sheet7">
    <tabColor rgb="FFFF0000"/>
  </sheetPr>
  <dimension ref="A2:P73"/>
  <sheetViews>
    <sheetView zoomScale="80" zoomScaleNormal="80" workbookViewId="0"/>
  </sheetViews>
  <sheetFormatPr defaultRowHeight="15" x14ac:dyDescent="0.25"/>
  <cols>
    <col min="1" max="1" width="5.7109375" customWidth="1"/>
    <col min="3" max="3" width="42.140625" customWidth="1"/>
    <col min="4" max="4" width="35.7109375" customWidth="1"/>
    <col min="5" max="5" width="10.7109375" customWidth="1"/>
    <col min="6" max="6" width="30.7109375" customWidth="1"/>
    <col min="7" max="8" width="10.7109375" customWidth="1"/>
    <col min="9" max="9" width="11.5703125" customWidth="1"/>
    <col min="10" max="10" width="30.7109375" customWidth="1"/>
    <col min="11" max="11" width="9.7109375" customWidth="1"/>
    <col min="13" max="13" width="9.140625" customWidth="1"/>
    <col min="14" max="14" width="28.7109375" customWidth="1"/>
    <col min="15" max="15" width="14.28515625" customWidth="1"/>
    <col min="16" max="16" width="40.140625" customWidth="1"/>
  </cols>
  <sheetData>
    <row r="2" spans="2:16" x14ac:dyDescent="0.25">
      <c r="B2" s="126"/>
      <c r="C2" s="127" t="s">
        <v>530</v>
      </c>
      <c r="D2" s="127"/>
      <c r="E2" s="127"/>
      <c r="F2" s="127"/>
      <c r="G2" s="127"/>
      <c r="H2" s="127"/>
      <c r="I2" s="127"/>
      <c r="J2" s="127"/>
      <c r="K2" s="127"/>
      <c r="L2" s="128"/>
    </row>
    <row r="3" spans="2:16" ht="18" customHeight="1" x14ac:dyDescent="0.25">
      <c r="B3" s="129"/>
      <c r="C3" s="364" t="s">
        <v>379</v>
      </c>
      <c r="D3" s="365"/>
      <c r="E3" s="108"/>
      <c r="F3" s="166"/>
      <c r="G3" s="108"/>
      <c r="H3" s="108"/>
      <c r="I3" s="108"/>
      <c r="J3" s="108"/>
      <c r="K3" s="108"/>
      <c r="L3" s="109"/>
      <c r="N3" s="322" t="s">
        <v>761</v>
      </c>
      <c r="O3" s="326" t="s">
        <v>774</v>
      </c>
      <c r="P3" s="323" t="s">
        <v>771</v>
      </c>
    </row>
    <row r="4" spans="2:16" ht="18" customHeight="1" x14ac:dyDescent="0.25">
      <c r="B4" s="129"/>
      <c r="C4" s="237" t="s">
        <v>291</v>
      </c>
      <c r="D4" s="167" t="s">
        <v>92</v>
      </c>
      <c r="E4" s="168"/>
      <c r="F4" s="168"/>
      <c r="G4" s="168"/>
      <c r="H4" s="108"/>
      <c r="I4" s="108"/>
      <c r="J4" s="108"/>
      <c r="K4" s="108"/>
      <c r="L4" s="109"/>
      <c r="N4" s="133" t="s">
        <v>762</v>
      </c>
      <c r="O4" s="327" t="s">
        <v>89</v>
      </c>
      <c r="P4" s="352" t="s">
        <v>775</v>
      </c>
    </row>
    <row r="5" spans="2:16" ht="18" customHeight="1" x14ac:dyDescent="0.25">
      <c r="B5" s="129"/>
      <c r="C5" s="124" t="s">
        <v>362</v>
      </c>
      <c r="D5" s="169" t="s">
        <v>751</v>
      </c>
      <c r="E5" s="335"/>
      <c r="F5" s="336"/>
      <c r="G5" s="336"/>
      <c r="H5" s="108"/>
      <c r="I5" s="108"/>
      <c r="J5" s="108"/>
      <c r="K5" s="108"/>
      <c r="L5" s="109"/>
      <c r="N5" s="133" t="s">
        <v>763</v>
      </c>
      <c r="O5" s="327" t="s">
        <v>89</v>
      </c>
      <c r="P5" s="353"/>
    </row>
    <row r="6" spans="2:16" ht="18" customHeight="1" x14ac:dyDescent="0.25">
      <c r="B6" s="129"/>
      <c r="C6" s="125" t="s">
        <v>527</v>
      </c>
      <c r="D6" s="568"/>
      <c r="E6" s="394"/>
      <c r="F6" s="394"/>
      <c r="G6" s="395"/>
      <c r="H6" s="384" t="str">
        <f>IF(SUM(COUNTIF(D6,{"*Bellwood*","*South Brunswick*","*Bensenville*","*Westmont*","*Charlotte*","*Waukegan*"})),"Check Permit Office Master List, AHJ has specific requirements!","Good.")</f>
        <v>Good.</v>
      </c>
      <c r="I6" s="385"/>
      <c r="J6" s="385"/>
      <c r="K6" s="385"/>
      <c r="L6" s="386"/>
      <c r="N6" s="133" t="s">
        <v>764</v>
      </c>
      <c r="O6" s="327" t="s">
        <v>89</v>
      </c>
      <c r="P6" s="354"/>
    </row>
    <row r="7" spans="2:16" ht="18" customHeight="1" x14ac:dyDescent="0.25">
      <c r="B7" s="129"/>
      <c r="C7" s="125" t="s">
        <v>298</v>
      </c>
      <c r="D7" s="388" t="s">
        <v>754</v>
      </c>
      <c r="E7" s="569"/>
      <c r="F7" s="569"/>
      <c r="G7" s="570"/>
      <c r="H7" s="384" t="str">
        <f>VLOOKUP(D7,'Utility &amp; Client Info'!C3:J101,8,FALSE)</f>
        <v>No additional requirements.</v>
      </c>
      <c r="I7" s="385"/>
      <c r="J7" s="385"/>
      <c r="K7" s="385"/>
      <c r="L7" s="386"/>
      <c r="N7" s="133" t="s">
        <v>766</v>
      </c>
      <c r="O7" s="327" t="s">
        <v>89</v>
      </c>
      <c r="P7" s="133" t="s">
        <v>769</v>
      </c>
    </row>
    <row r="8" spans="2:16" ht="18" customHeight="1" x14ac:dyDescent="0.25">
      <c r="B8" s="129"/>
      <c r="C8" s="337" t="s">
        <v>776</v>
      </c>
      <c r="D8" s="381">
        <v>2017</v>
      </c>
      <c r="E8" s="382"/>
      <c r="F8" s="382"/>
      <c r="G8" s="383"/>
      <c r="H8" s="384" t="str">
        <f>IF(OR(D5="IL",D5="FL"),"Use NEC 2014 unless there are specific AHJ requirements.","")</f>
        <v/>
      </c>
      <c r="I8" s="385"/>
      <c r="J8" s="385"/>
      <c r="K8" s="385"/>
      <c r="L8" s="386"/>
      <c r="N8" s="133" t="s">
        <v>765</v>
      </c>
      <c r="O8" s="327" t="s">
        <v>89</v>
      </c>
      <c r="P8" s="133" t="s">
        <v>770</v>
      </c>
    </row>
    <row r="9" spans="2:16" ht="50.25" customHeight="1" x14ac:dyDescent="0.25">
      <c r="B9" s="129"/>
      <c r="C9" s="330" t="s">
        <v>376</v>
      </c>
      <c r="D9" s="378" t="str">
        <f>IF(D4="", "", IFERROR(VLOOKUP(D4,'Utility &amp; Client Info'!Y3:Z10, 2, FALSE), "Error"))</f>
        <v>No wire smaller than 10 AWG or 3/4" conduit</v>
      </c>
      <c r="E9" s="379"/>
      <c r="F9" s="379"/>
      <c r="G9" s="379"/>
      <c r="H9" s="379"/>
      <c r="I9" s="380"/>
      <c r="J9" s="256"/>
      <c r="K9" s="256"/>
      <c r="L9" s="109"/>
      <c r="N9" s="324" t="s">
        <v>772</v>
      </c>
      <c r="O9" s="328" t="s">
        <v>89</v>
      </c>
      <c r="P9" s="325" t="s">
        <v>770</v>
      </c>
    </row>
    <row r="10" spans="2:16" ht="18" customHeight="1" x14ac:dyDescent="0.25">
      <c r="B10" s="129"/>
      <c r="C10" s="62"/>
      <c r="D10" s="62"/>
      <c r="E10" s="62"/>
      <c r="F10" s="62"/>
      <c r="G10" s="62"/>
      <c r="H10" s="168"/>
      <c r="I10" s="108"/>
      <c r="J10" s="108"/>
      <c r="K10" s="108"/>
      <c r="L10" s="109"/>
      <c r="N10" s="133" t="s">
        <v>767</v>
      </c>
      <c r="O10" s="327" t="s">
        <v>89</v>
      </c>
      <c r="P10" s="133" t="s">
        <v>768</v>
      </c>
    </row>
    <row r="11" spans="2:16" ht="18" customHeight="1" x14ac:dyDescent="0.25">
      <c r="B11" s="129"/>
      <c r="C11" s="364" t="s">
        <v>302</v>
      </c>
      <c r="D11" s="365"/>
      <c r="E11" s="108"/>
      <c r="F11" s="364" t="s">
        <v>564</v>
      </c>
      <c r="G11" s="365"/>
      <c r="H11" s="87" t="s">
        <v>469</v>
      </c>
      <c r="I11" s="108"/>
      <c r="J11" s="108"/>
      <c r="K11" s="108"/>
      <c r="L11" s="109"/>
    </row>
    <row r="12" spans="2:16" ht="18" customHeight="1" x14ac:dyDescent="0.25">
      <c r="B12" s="129"/>
      <c r="C12" s="121" t="s">
        <v>297</v>
      </c>
      <c r="D12" s="170" t="s">
        <v>369</v>
      </c>
      <c r="E12" s="108"/>
      <c r="F12" s="237" t="s">
        <v>293</v>
      </c>
      <c r="G12" s="170">
        <v>1</v>
      </c>
      <c r="H12" s="375">
        <f>SUM(G12:G14)</f>
        <v>1</v>
      </c>
      <c r="I12" s="108"/>
      <c r="J12" s="108"/>
      <c r="K12" s="108"/>
      <c r="L12" s="109"/>
      <c r="N12" s="368" t="s">
        <v>773</v>
      </c>
      <c r="O12" s="368"/>
      <c r="P12" s="368"/>
    </row>
    <row r="13" spans="2:16" ht="18" customHeight="1" x14ac:dyDescent="0.25">
      <c r="B13" s="129"/>
      <c r="C13" s="89" t="s">
        <v>280</v>
      </c>
      <c r="D13" s="172">
        <v>2</v>
      </c>
      <c r="E13" s="108"/>
      <c r="F13" s="125" t="s">
        <v>294</v>
      </c>
      <c r="G13" s="173" t="s">
        <v>94</v>
      </c>
      <c r="H13" s="376"/>
      <c r="I13" s="108"/>
      <c r="J13" s="108"/>
      <c r="K13" s="108"/>
      <c r="L13" s="109"/>
    </row>
    <row r="14" spans="2:16" ht="18" customHeight="1" x14ac:dyDescent="0.25">
      <c r="B14" s="129"/>
      <c r="C14" s="117" t="s">
        <v>377</v>
      </c>
      <c r="D14" s="172">
        <v>1</v>
      </c>
      <c r="E14" s="108"/>
      <c r="F14" s="176" t="s">
        <v>295</v>
      </c>
      <c r="G14" s="175" t="s">
        <v>94</v>
      </c>
      <c r="H14" s="377"/>
      <c r="I14" s="108"/>
      <c r="J14" s="108"/>
      <c r="K14" s="108"/>
      <c r="L14" s="109"/>
    </row>
    <row r="15" spans="2:16" ht="18" customHeight="1" x14ac:dyDescent="0.25">
      <c r="B15" s="129"/>
      <c r="C15" s="123" t="s">
        <v>378</v>
      </c>
      <c r="D15" s="177">
        <v>1</v>
      </c>
      <c r="E15" s="108"/>
      <c r="F15" s="237" t="s">
        <v>282</v>
      </c>
      <c r="G15" s="565" t="s">
        <v>192</v>
      </c>
      <c r="H15" s="565"/>
      <c r="I15" s="108"/>
      <c r="J15" s="108"/>
      <c r="K15" s="108"/>
      <c r="L15" s="109"/>
    </row>
    <row r="16" spans="2:16" ht="18" customHeight="1" x14ac:dyDescent="0.25">
      <c r="B16" s="129"/>
      <c r="C16" s="238" t="s">
        <v>490</v>
      </c>
      <c r="D16" s="175" t="s">
        <v>89</v>
      </c>
      <c r="E16" s="108"/>
      <c r="F16" s="241" t="s">
        <v>565</v>
      </c>
      <c r="G16" s="567">
        <f>H12*LEFT(VLOOKUP(D12,Panels!B4:K103,2,FALSE),LEN(VLOOKUP(D12,Panels!B4:K103,2,FALSE))-1)</f>
        <v>300</v>
      </c>
      <c r="H16" s="567"/>
      <c r="I16" s="108"/>
      <c r="J16" s="108"/>
      <c r="K16" s="108"/>
      <c r="L16" s="109"/>
    </row>
    <row r="17" spans="2:15" ht="18" customHeight="1" x14ac:dyDescent="0.25">
      <c r="B17" s="129"/>
      <c r="C17" s="366" t="str">
        <f>IF(OR(ISNUMBER(SEARCH("DUKE",D7)),ISNUMBER(SEARCH("PROGRESS",D7))),"Duke always does line-side tap, change 'Is there space for PV Breaker?' to 'No'","")</f>
        <v/>
      </c>
      <c r="D17" s="366"/>
      <c r="E17" s="108"/>
      <c r="F17" s="258" t="s">
        <v>566</v>
      </c>
      <c r="G17" s="566" t="str">
        <f>LOOKUP(G16,1/(Inverters!C4:C10&lt;=G16)/(Inverters!D4:D10&gt;=G16),Inverters!B4:B10)</f>
        <v>SE3000H-US</v>
      </c>
      <c r="H17" s="566"/>
      <c r="I17" s="108"/>
      <c r="J17" s="108"/>
      <c r="K17" s="108"/>
      <c r="L17" s="109"/>
    </row>
    <row r="18" spans="2:15" ht="18" customHeight="1" x14ac:dyDescent="0.25">
      <c r="B18" s="129"/>
      <c r="C18" s="108"/>
      <c r="D18" s="108"/>
      <c r="E18" s="108"/>
      <c r="F18" s="366" t="str">
        <f>IF(OR(AND(ISNUMBER(G12),G12&lt;8),AND(ISNUMBER(G13),G13&lt;8),AND(ISNUMBER(G14),G14&lt;8)),"Error, minimum number of optimizers in series is 8.","")</f>
        <v>Error, minimum number of optimizers in series is 8.</v>
      </c>
      <c r="G18" s="366"/>
      <c r="H18" s="366"/>
      <c r="I18" s="108"/>
      <c r="J18" s="108"/>
      <c r="K18" s="108"/>
      <c r="L18" s="109"/>
    </row>
    <row r="19" spans="2:15" ht="18" customHeight="1" x14ac:dyDescent="0.25">
      <c r="B19" s="129"/>
      <c r="C19" s="237" t="s">
        <v>398</v>
      </c>
      <c r="D19" s="240" t="str">
        <f>VLOOKUP(D12,Panels!B4:K103,10,FALSE)</f>
        <v>P320</v>
      </c>
      <c r="E19" s="108"/>
      <c r="F19" s="367" t="str">
        <f>IF(OR(AND(ISNUMBER(G12),G12&gt;D21),AND(ISNUMBER(G13),G13&gt;D21),AND(ISNUMBER(G14),G14&gt;D21)),CONCATENATE("Error, maximum string size is ",D21,"."),"")</f>
        <v/>
      </c>
      <c r="G19" s="367"/>
      <c r="H19" s="367"/>
      <c r="I19" s="108"/>
      <c r="J19" s="108"/>
      <c r="K19" s="108"/>
      <c r="L19" s="109"/>
      <c r="N19" s="180"/>
    </row>
    <row r="20" spans="2:15" ht="18" customHeight="1" x14ac:dyDescent="0.25">
      <c r="B20" s="129"/>
      <c r="C20" s="176" t="s">
        <v>468</v>
      </c>
      <c r="D20" s="239">
        <f>ROUNDUP(D13/D21,0)</f>
        <v>1</v>
      </c>
      <c r="E20" s="108"/>
      <c r="F20" s="108"/>
      <c r="G20" s="108"/>
      <c r="H20" s="108"/>
      <c r="I20" s="108"/>
      <c r="J20" s="108"/>
      <c r="K20" s="108"/>
      <c r="L20" s="109"/>
      <c r="N20" s="180"/>
    </row>
    <row r="21" spans="2:15" ht="18" customHeight="1" x14ac:dyDescent="0.25">
      <c r="B21" s="129"/>
      <c r="C21" s="89" t="s">
        <v>283</v>
      </c>
      <c r="D21" s="183">
        <f>ROUNDDOWN(VLOOKUP(G15,Inverters!B15:J28,9,FALSE)/LEFT(VLOOKUP(D12,Panels!B4:K103,2,FALSE),LEN(VLOOKUP(D12,Panels!B4:K103,2,FALSE))-1),0)</f>
        <v>19</v>
      </c>
      <c r="E21" s="108"/>
      <c r="F21" s="364" t="s">
        <v>567</v>
      </c>
      <c r="G21" s="365"/>
      <c r="H21" s="87" t="s">
        <v>469</v>
      </c>
      <c r="I21" s="108"/>
      <c r="J21" s="373" t="s">
        <v>463</v>
      </c>
      <c r="K21" s="374"/>
      <c r="L21" s="109"/>
      <c r="N21" s="180"/>
    </row>
    <row r="22" spans="2:15" ht="18" customHeight="1" x14ac:dyDescent="0.25">
      <c r="B22" s="129"/>
      <c r="C22" s="125" t="s">
        <v>290</v>
      </c>
      <c r="D22" s="183">
        <f>D13*LEFT(VLOOKUP(D12,Panels!B4:K103,2,FALSE),LEN(VLOOKUP(D12,Panels!B4:K103,2,FALSE))-1)</f>
        <v>600</v>
      </c>
      <c r="E22" s="108"/>
      <c r="F22" s="237" t="s">
        <v>293</v>
      </c>
      <c r="G22" s="170">
        <v>1</v>
      </c>
      <c r="H22" s="375">
        <f>SUM(G22:G24)</f>
        <v>1</v>
      </c>
      <c r="I22" s="108"/>
      <c r="J22" s="179" t="s">
        <v>464</v>
      </c>
      <c r="K22" s="220" t="str">
        <f>CONCATENATE(ROUND(LEFT(VLOOKUP(D12,Panels!B4:K103,5,FALSE),LEN(VLOOKUP(D12,Panels!B4:K103,5,FALSE))-1)+((D27-25)*(LEFT(VLOOKUP(D12,Panels!B4:K103,5,FALSE),LEN(VLOOKUP(D12,Panels!B4:K103,5,FALSE))-1)*(LEFT(VLOOKUP(D12,Panels!B4:K103,7,FALSE),LEN(VLOOKUP(D12,Panels!B4:K103,7,FALSE))-4)/100))),2),"V")</f>
        <v>45.83V</v>
      </c>
      <c r="L22" s="109"/>
      <c r="N22" s="180"/>
      <c r="O22" s="134"/>
    </row>
    <row r="23" spans="2:15" ht="18" customHeight="1" x14ac:dyDescent="0.25">
      <c r="B23" s="129"/>
      <c r="C23" s="176" t="s">
        <v>383</v>
      </c>
      <c r="D23" s="258" t="str">
        <f>IF(((LEFT(VLOOKUP(G15,Inverters!B15:J28,5,FALSE),LEN(VLOOKUP(G15,Inverters!B15:J28,5,FALSE))-1)+LEFT(VLOOKUP(G25,Inverters!B15:J28,5,FALSE),LEN(VLOOKUP(G25,Inverters!B15:J28,5,FALSE))-1))*1.25)&gt;((1.2*D15)-D14),"No","Yes")</f>
        <v>No</v>
      </c>
      <c r="E23" s="108"/>
      <c r="F23" s="125" t="s">
        <v>294</v>
      </c>
      <c r="G23" s="173" t="s">
        <v>94</v>
      </c>
      <c r="H23" s="376"/>
      <c r="I23" s="108"/>
      <c r="J23" s="182" t="s">
        <v>465</v>
      </c>
      <c r="K23" s="221" t="str">
        <f>VLOOKUP(D19,Optimizers!B4:H9,5,FALSE)</f>
        <v>48V</v>
      </c>
      <c r="L23" s="109"/>
    </row>
    <row r="24" spans="2:15" ht="18" customHeight="1" x14ac:dyDescent="0.25">
      <c r="B24" s="129"/>
      <c r="C24" s="62"/>
      <c r="D24" s="62"/>
      <c r="E24" s="108"/>
      <c r="F24" s="176" t="s">
        <v>295</v>
      </c>
      <c r="G24" s="175" t="s">
        <v>94</v>
      </c>
      <c r="H24" s="377"/>
      <c r="I24" s="108"/>
      <c r="J24" s="182" t="s">
        <v>466</v>
      </c>
      <c r="K24" s="222" t="str">
        <f>VLOOKUP(D12,Panels!B4:K103,3,FALSE)</f>
        <v>9.71A</v>
      </c>
      <c r="L24" s="109"/>
    </row>
    <row r="25" spans="2:15" ht="18" customHeight="1" x14ac:dyDescent="0.25">
      <c r="B25" s="129"/>
      <c r="C25" s="364" t="s">
        <v>292</v>
      </c>
      <c r="D25" s="365"/>
      <c r="E25" s="108"/>
      <c r="F25" s="237" t="s">
        <v>282</v>
      </c>
      <c r="G25" s="565" t="s">
        <v>192</v>
      </c>
      <c r="H25" s="565"/>
      <c r="I25" s="108"/>
      <c r="J25" s="184" t="s">
        <v>467</v>
      </c>
      <c r="K25" s="223" t="str">
        <f>VLOOKUP(D19,Optimizers!B4:H9,4,FALSE)</f>
        <v>11A</v>
      </c>
      <c r="L25" s="109"/>
    </row>
    <row r="26" spans="2:15" ht="18" customHeight="1" x14ac:dyDescent="0.25">
      <c r="B26" s="129"/>
      <c r="C26" s="171" t="str">
        <f>IF(D4="Texas Energy Experts","0.4% DB High Temp (°C)","2% DB High Temp (°C)")</f>
        <v>2% DB High Temp (°C)</v>
      </c>
      <c r="D26" s="170">
        <v>25</v>
      </c>
      <c r="E26" s="108"/>
      <c r="F26" s="241" t="s">
        <v>565</v>
      </c>
      <c r="G26" s="567">
        <f>H22*LEFT(VLOOKUP(D12,Panels!B4:K103,2,FALSE),LEN(VLOOKUP(D12,Panels!B4:K103,2,FALSE))-1)</f>
        <v>300</v>
      </c>
      <c r="H26" s="567"/>
      <c r="I26" s="108"/>
      <c r="J26" s="108"/>
      <c r="K26" s="108"/>
      <c r="L26" s="109"/>
    </row>
    <row r="27" spans="2:15" ht="18" customHeight="1" x14ac:dyDescent="0.25">
      <c r="B27" s="129"/>
      <c r="C27" s="174" t="s">
        <v>225</v>
      </c>
      <c r="D27" s="175">
        <v>-25</v>
      </c>
      <c r="E27" s="108"/>
      <c r="F27" s="258" t="s">
        <v>566</v>
      </c>
      <c r="G27" s="566" t="str">
        <f>LOOKUP(G26,1/(Inverters!C4:C10&lt;=G26)/(Inverters!D4:D10&gt;=G26),Inverters!B4:B10)</f>
        <v>SE3000H-US</v>
      </c>
      <c r="H27" s="566"/>
      <c r="I27" s="108"/>
      <c r="J27" s="108"/>
      <c r="K27" s="108"/>
      <c r="L27" s="109"/>
    </row>
    <row r="28" spans="2:15" ht="18" customHeight="1" x14ac:dyDescent="0.25">
      <c r="B28" s="129"/>
      <c r="C28" s="62"/>
      <c r="D28" s="62"/>
      <c r="E28" s="108"/>
      <c r="F28" s="366" t="str">
        <f>IF(OR(AND(ISNUMBER(G22),G22&lt;8),AND(ISNUMBER(G23),G23&lt;8),AND(ISNUMBER(G24),G24&lt;8)),"Error, minimum number of optimizers in series is 8.","")</f>
        <v>Error, minimum number of optimizers in series is 8.</v>
      </c>
      <c r="G28" s="366"/>
      <c r="H28" s="366"/>
      <c r="I28" s="108"/>
      <c r="J28" s="108"/>
      <c r="K28" s="108"/>
      <c r="L28" s="109"/>
    </row>
    <row r="29" spans="2:15" ht="18" customHeight="1" x14ac:dyDescent="0.25">
      <c r="B29" s="129"/>
      <c r="C29" s="62"/>
      <c r="D29" s="62"/>
      <c r="E29" s="108"/>
      <c r="F29" s="367" t="str">
        <f>IF(OR(AND(ISNUMBER(G22),G22&gt;D21),AND(ISNUMBER(G23),G23&gt;D21),AND(ISNUMBER(G24),G24&gt;D21)),CONCATENATE("Error, maximum string size is ",D21,"."),"")</f>
        <v/>
      </c>
      <c r="G29" s="367"/>
      <c r="H29" s="367"/>
      <c r="I29" s="108"/>
      <c r="J29" s="108"/>
      <c r="K29" s="108"/>
      <c r="L29" s="109"/>
    </row>
    <row r="30" spans="2:15" ht="18" customHeight="1" x14ac:dyDescent="0.25">
      <c r="B30" s="129"/>
      <c r="C30" s="108"/>
      <c r="D30" s="108"/>
      <c r="E30" s="108"/>
      <c r="F30" s="108"/>
      <c r="G30" s="108"/>
      <c r="H30" s="108"/>
      <c r="I30" s="108"/>
      <c r="J30" s="108"/>
      <c r="K30" s="108"/>
      <c r="L30" s="109"/>
    </row>
    <row r="31" spans="2:15" ht="18" customHeight="1" x14ac:dyDescent="0.25">
      <c r="B31" s="129"/>
      <c r="C31" s="364" t="s">
        <v>361</v>
      </c>
      <c r="D31" s="372"/>
      <c r="E31" s="372"/>
      <c r="F31" s="372"/>
      <c r="G31" s="372"/>
      <c r="H31" s="372"/>
      <c r="I31" s="372"/>
      <c r="J31" s="118" t="s">
        <v>529</v>
      </c>
      <c r="K31" s="85"/>
      <c r="L31" s="109"/>
    </row>
    <row r="32" spans="2:15" ht="18" customHeight="1" x14ac:dyDescent="0.25">
      <c r="B32" s="129"/>
      <c r="C32" s="185" t="s">
        <v>528</v>
      </c>
      <c r="D32" s="369" t="str">
        <f>IF(LEFT(VLOOKUP(D7,'Utility &amp; Client Info'!C3:H101,4,FALSE),2)="PV",IF(LEFT(VLOOKUP(D7,'Utility &amp; Client Info'!C3:H101,2,FALSE),2)="No","PV Meter","PV Meter, AC Disconnect"), IF(LEFT(VLOOKUP(D7,'Utility &amp; Client Info'!C3:H101,4,FALSE),2)="AC", IF(LEFT(VLOOKUP(D7,'Utility &amp; Client Info'!C3:H101,3,FALSE),2)="No","AC Disconnect (if needed)","AC Disconnect, PV Meter")))</f>
        <v>AC Disconnect (if needed)</v>
      </c>
      <c r="E32" s="370"/>
      <c r="F32" s="370"/>
      <c r="G32" s="370"/>
      <c r="H32" s="370"/>
      <c r="I32" s="371"/>
      <c r="J32" s="220" t="str">
        <f>IF(AND(LEFT(D32,1)="A",J33="Yes",J34="Yes"),"AC Disconnect, PV Meter",IF(AND(LEFT(D32,1)="A",J33="Yes",J34="No"),"AC Disconnect",IF(AND(LEFT(D32,1)="A",J33="No",J34="No"),"N/A",IF(AND(LEFT(D32,1)="P",J33="Yes",J34="Yes"),"PV Meter, AC Disconnect",IF(AND(LEFT(D32,1)="P",J33="No",J34="Yes"),"PV Meter","Error!")))))</f>
        <v>AC Disconnect</v>
      </c>
      <c r="K32" s="62"/>
      <c r="L32" s="109"/>
    </row>
    <row r="33" spans="2:12" ht="18" customHeight="1" x14ac:dyDescent="0.25">
      <c r="B33" s="129"/>
      <c r="C33" s="264" t="s">
        <v>331</v>
      </c>
      <c r="D33" s="355" t="str">
        <f>IF(D7="", "", VLOOKUP(D7, 'Utility &amp; Client Info'!C3:H101, 2, FALSE))</f>
        <v>Yes</v>
      </c>
      <c r="E33" s="356"/>
      <c r="F33" s="356"/>
      <c r="G33" s="356"/>
      <c r="H33" s="356"/>
      <c r="I33" s="357"/>
      <c r="J33" s="221" t="str">
        <f>IF(AND(LEFT(D33,1)="N",J35="No"),"No","Yes")</f>
        <v>Yes</v>
      </c>
      <c r="K33" s="62"/>
      <c r="L33" s="109"/>
    </row>
    <row r="34" spans="2:12" ht="18" customHeight="1" x14ac:dyDescent="0.25">
      <c r="B34" s="129"/>
      <c r="C34" s="125" t="s">
        <v>357</v>
      </c>
      <c r="D34" s="355" t="str">
        <f>IF(D7="", "", VLOOKUP(D7, 'Utility &amp; Client Info'!C3:H101, 3, FALSE))</f>
        <v>No</v>
      </c>
      <c r="E34" s="356"/>
      <c r="F34" s="356"/>
      <c r="G34" s="356"/>
      <c r="H34" s="356"/>
      <c r="I34" s="357"/>
      <c r="J34" s="222" t="str">
        <f>IF(LEFT(D34,1)="N","No","Yes")</f>
        <v>No</v>
      </c>
      <c r="K34" s="62"/>
      <c r="L34" s="109"/>
    </row>
    <row r="35" spans="2:12" ht="18" customHeight="1" x14ac:dyDescent="0.25">
      <c r="B35" s="129"/>
      <c r="C35" s="124" t="s">
        <v>367</v>
      </c>
      <c r="D35" s="358" t="str">
        <f>IF(D7="", "", VLOOKUP(D7, 'Utility &amp; Client Info'!C3:H101, 5, FALSE))</f>
        <v>No</v>
      </c>
      <c r="E35" s="359"/>
      <c r="F35" s="359"/>
      <c r="G35" s="359"/>
      <c r="H35" s="359"/>
      <c r="I35" s="360"/>
      <c r="J35" s="223" t="str">
        <f>IF(AND(D16="Yes",D23="Yes"),"No","Yes")</f>
        <v>Yes</v>
      </c>
      <c r="K35" s="186"/>
      <c r="L35" s="109"/>
    </row>
    <row r="36" spans="2:12" ht="18" customHeight="1" x14ac:dyDescent="0.25">
      <c r="B36" s="129"/>
      <c r="C36" s="187" t="s">
        <v>360</v>
      </c>
      <c r="D36" s="361" t="str">
        <f>IF(D7="", "", IF(VLOOKUP(D7, 'Utility &amp; Client Info'!C3:H101, 6, FALSE) = "", "Not Required", VLOOKUP(D7, 'Utility &amp; Client Info'!C3:H101, 6, FALSE)))</f>
        <v>Yes</v>
      </c>
      <c r="E36" s="362"/>
      <c r="F36" s="362"/>
      <c r="G36" s="362"/>
      <c r="H36" s="362"/>
      <c r="I36" s="363"/>
      <c r="J36" s="62"/>
      <c r="K36" s="62"/>
      <c r="L36" s="109"/>
    </row>
    <row r="37" spans="2:12" ht="18" customHeight="1" x14ac:dyDescent="0.25">
      <c r="B37" s="129"/>
      <c r="C37" s="108"/>
      <c r="D37" s="108"/>
      <c r="E37" s="108"/>
      <c r="F37" s="108"/>
      <c r="G37" s="108"/>
      <c r="H37" s="108"/>
      <c r="I37" s="108"/>
      <c r="J37" s="108"/>
      <c r="K37" s="108"/>
      <c r="L37" s="109"/>
    </row>
    <row r="38" spans="2:12" ht="18" customHeight="1" x14ac:dyDescent="0.25">
      <c r="B38" s="129"/>
      <c r="C38" s="119" t="s">
        <v>380</v>
      </c>
      <c r="D38" s="108"/>
      <c r="E38" s="108"/>
      <c r="F38" s="108"/>
      <c r="G38" s="108"/>
      <c r="H38" s="108"/>
      <c r="I38" s="108"/>
      <c r="J38" s="108"/>
      <c r="K38" s="108"/>
      <c r="L38" s="109"/>
    </row>
    <row r="39" spans="2:12" ht="18" customHeight="1" x14ac:dyDescent="0.25">
      <c r="B39" s="129"/>
      <c r="C39" s="108" t="s">
        <v>381</v>
      </c>
      <c r="D39" s="108"/>
      <c r="E39" s="108"/>
      <c r="F39" s="108"/>
      <c r="G39" s="108"/>
      <c r="H39" s="108"/>
      <c r="I39" s="108"/>
      <c r="J39" s="108"/>
      <c r="K39" s="108"/>
      <c r="L39" s="109"/>
    </row>
    <row r="40" spans="2:12" ht="18" customHeight="1" x14ac:dyDescent="0.25">
      <c r="B40" s="129"/>
      <c r="C40" s="108" t="s">
        <v>382</v>
      </c>
      <c r="D40" s="108"/>
      <c r="E40" s="108"/>
      <c r="F40" s="108"/>
      <c r="G40" s="108"/>
      <c r="H40" s="108"/>
      <c r="I40" s="108"/>
      <c r="J40" s="108"/>
      <c r="K40" s="108"/>
      <c r="L40" s="109"/>
    </row>
    <row r="41" spans="2:12" ht="18" customHeight="1" x14ac:dyDescent="0.25">
      <c r="B41" s="129"/>
      <c r="C41" s="108" t="s">
        <v>392</v>
      </c>
      <c r="D41" s="108"/>
      <c r="E41" s="108"/>
      <c r="F41" s="108"/>
      <c r="G41" s="108"/>
      <c r="H41" s="108"/>
      <c r="I41" s="108"/>
      <c r="J41" s="108"/>
      <c r="K41" s="108"/>
      <c r="L41" s="109"/>
    </row>
    <row r="42" spans="2:12" ht="18" customHeight="1" x14ac:dyDescent="0.25">
      <c r="B42" s="130"/>
      <c r="C42" s="110"/>
      <c r="D42" s="110"/>
      <c r="E42" s="110"/>
      <c r="F42" s="110"/>
      <c r="G42" s="110"/>
      <c r="H42" s="110"/>
      <c r="I42" s="110"/>
      <c r="J42" s="110"/>
      <c r="K42" s="110"/>
      <c r="L42" s="111"/>
    </row>
    <row r="62" spans="1:2" x14ac:dyDescent="0.25">
      <c r="A62" s="114"/>
      <c r="B62" s="114"/>
    </row>
    <row r="63" spans="1:2" x14ac:dyDescent="0.25">
      <c r="A63" s="114"/>
      <c r="B63" s="114"/>
    </row>
    <row r="73" spans="13:15" x14ac:dyDescent="0.25">
      <c r="M73" s="188"/>
      <c r="N73" s="188"/>
      <c r="O73" s="188"/>
    </row>
  </sheetData>
  <mergeCells count="34">
    <mergeCell ref="N12:P12"/>
    <mergeCell ref="C3:D3"/>
    <mergeCell ref="D6:G6"/>
    <mergeCell ref="D7:G7"/>
    <mergeCell ref="H6:L6"/>
    <mergeCell ref="H7:L7"/>
    <mergeCell ref="C11:D11"/>
    <mergeCell ref="F11:G11"/>
    <mergeCell ref="H12:H14"/>
    <mergeCell ref="P4:P6"/>
    <mergeCell ref="D8:G8"/>
    <mergeCell ref="D9:I9"/>
    <mergeCell ref="H8:L8"/>
    <mergeCell ref="J21:K21"/>
    <mergeCell ref="C31:I31"/>
    <mergeCell ref="D32:I32"/>
    <mergeCell ref="D33:I33"/>
    <mergeCell ref="G16:H16"/>
    <mergeCell ref="G25:H25"/>
    <mergeCell ref="G26:H26"/>
    <mergeCell ref="G27:H27"/>
    <mergeCell ref="D34:I34"/>
    <mergeCell ref="D35:I35"/>
    <mergeCell ref="D36:I36"/>
    <mergeCell ref="G15:H15"/>
    <mergeCell ref="G17:H17"/>
    <mergeCell ref="F21:G21"/>
    <mergeCell ref="H22:H24"/>
    <mergeCell ref="C25:D25"/>
    <mergeCell ref="F29:H29"/>
    <mergeCell ref="F19:H19"/>
    <mergeCell ref="F18:H18"/>
    <mergeCell ref="F28:H28"/>
    <mergeCell ref="C17:D17"/>
  </mergeCells>
  <conditionalFormatting sqref="A45:B72 A35:B39">
    <cfRule type="containsText" dxfId="40" priority="4" operator="containsText" text="Yes">
      <formula>NOT(ISERROR(SEARCH("Yes",A35)))</formula>
    </cfRule>
  </conditionalFormatting>
  <conditionalFormatting sqref="M73:O73">
    <cfRule type="expression" dxfId="39" priority="5">
      <formula>#REF!&gt;#REF!</formula>
    </cfRule>
  </conditionalFormatting>
  <conditionalFormatting sqref="D15:D16">
    <cfRule type="expression" dxfId="38" priority="51">
      <formula>IF(AND($D$14&lt;&gt;"", $D$15&lt;&gt;""), $D$14&gt;$D$15, "")</formula>
    </cfRule>
  </conditionalFormatting>
  <conditionalFormatting sqref="H22:H24">
    <cfRule type="expression" dxfId="37" priority="2">
      <formula>$H$12+$H$22=$D$13</formula>
    </cfRule>
  </conditionalFormatting>
  <conditionalFormatting sqref="H12:H14">
    <cfRule type="expression" dxfId="36" priority="1">
      <formula>$H$12+$H$22=$D$13</formula>
    </cfRule>
  </conditionalFormatting>
  <dataValidations count="3">
    <dataValidation type="list" allowBlank="1" showInputMessage="1" showErrorMessage="1" sqref="D16 O4:O10" xr:uid="{9DB753DA-8DC9-49E4-9155-0DF58901B4AE}">
      <formula1>"Yes, No"</formula1>
    </dataValidation>
    <dataValidation type="list" allowBlank="1" showInputMessage="1" showErrorMessage="1" sqref="D7" xr:uid="{7F6DC237-E887-42E8-95F9-B4DAC8D77729}">
      <formula1>INDIRECT(D5)</formula1>
    </dataValidation>
    <dataValidation type="list" allowBlank="1" showInputMessage="1" showErrorMessage="1" sqref="D8:G8" xr:uid="{9674199F-1AB5-4DB3-9445-9B55027A9242}">
      <formula1>"2017, 2014, 2011"</formula1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31C5DF8-DCBF-44FC-9E89-CFD7568978D7}">
          <x14:formula1>
            <xm:f>Inverters!$B$15:$B$28</xm:f>
          </x14:formula1>
          <xm:sqref>G15 G25</xm:sqref>
        </x14:dataValidation>
        <x14:dataValidation type="list" allowBlank="1" showInputMessage="1" showErrorMessage="1" xr:uid="{0A4F958F-3C2A-4151-A015-8B74F5D7FB4F}">
          <x14:formula1>
            <xm:f>'Utility &amp; Client Info'!$L$4:$L$53</xm:f>
          </x14:formula1>
          <xm:sqref>D5</xm:sqref>
        </x14:dataValidation>
        <x14:dataValidation type="list" allowBlank="1" showInputMessage="1" showErrorMessage="1" xr:uid="{A0A36F28-992B-4005-84E1-686F821FFA72}">
          <x14:formula1>
            <xm:f>Panels!$B$4:$B$103</xm:f>
          </x14:formula1>
          <xm:sqref>D12</xm:sqref>
        </x14:dataValidation>
        <x14:dataValidation type="list" allowBlank="1" showInputMessage="1" showErrorMessage="1" xr:uid="{38E50A5C-C71F-41A6-8F0C-7664E8662CAB}">
          <x14:formula1>
            <xm:f>'Utility &amp; Client Info'!$Y$3:$Y$10</xm:f>
          </x14:formula1>
          <xm:sqref>D4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AB6913-75E6-48A1-A248-6C5CC891C875}">
  <sheetPr codeName="Sheet8">
    <tabColor rgb="FFFF0000"/>
  </sheetPr>
  <dimension ref="A1:Y83"/>
  <sheetViews>
    <sheetView zoomScale="80" zoomScaleNormal="80" workbookViewId="0"/>
  </sheetViews>
  <sheetFormatPr defaultRowHeight="12.75" x14ac:dyDescent="0.2"/>
  <cols>
    <col min="1" max="1" width="5.7109375" style="1" customWidth="1"/>
    <col min="2" max="22" width="10.7109375" style="1" customWidth="1"/>
    <col min="23" max="23" width="5.7109375" style="1" customWidth="1"/>
    <col min="24" max="24" width="30.7109375" style="1" customWidth="1"/>
    <col min="25" max="25" width="61.5703125" style="1" customWidth="1"/>
    <col min="26" max="26" width="5.7109375" style="1" customWidth="1"/>
    <col min="27" max="38" width="10.7109375" style="1" customWidth="1"/>
    <col min="39" max="16384" width="9.140625" style="1"/>
  </cols>
  <sheetData>
    <row r="1" spans="1:25" x14ac:dyDescent="0.2">
      <c r="A1" s="32"/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  <c r="W1" s="32"/>
    </row>
    <row r="2" spans="1:25" x14ac:dyDescent="0.2">
      <c r="A2" s="32"/>
      <c r="B2" s="398" t="s">
        <v>532</v>
      </c>
      <c r="C2" s="400"/>
      <c r="D2" s="400"/>
      <c r="E2" s="400"/>
      <c r="F2" s="400"/>
      <c r="G2" s="400"/>
      <c r="H2" s="400"/>
      <c r="I2" s="400"/>
      <c r="J2" s="400"/>
      <c r="K2" s="400"/>
      <c r="L2" s="400"/>
      <c r="M2" s="400"/>
      <c r="N2" s="400"/>
      <c r="O2" s="400"/>
      <c r="P2" s="400"/>
      <c r="Q2" s="400"/>
      <c r="R2" s="400"/>
      <c r="S2" s="400"/>
      <c r="T2" s="400"/>
      <c r="U2" s="400"/>
      <c r="V2" s="399"/>
      <c r="W2" s="32"/>
      <c r="X2" s="584" t="s">
        <v>278</v>
      </c>
      <c r="Y2" s="584"/>
    </row>
    <row r="3" spans="1:25" x14ac:dyDescent="0.2">
      <c r="A3" s="32"/>
      <c r="B3" s="41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  <c r="Q3" s="47"/>
      <c r="R3" s="47"/>
      <c r="S3" s="47"/>
      <c r="T3" s="47"/>
      <c r="U3" s="47"/>
      <c r="V3" s="51"/>
      <c r="W3" s="32"/>
      <c r="X3" s="276" t="s">
        <v>525</v>
      </c>
      <c r="Y3" s="278" t="str">
        <f>VLOOKUP('2 Inv Input'!D7,'Utility &amp; Client Info'!C3:I101,7,FALSE)</f>
        <v>BG&amp;E</v>
      </c>
    </row>
    <row r="4" spans="1:25" x14ac:dyDescent="0.2">
      <c r="A4" s="32"/>
      <c r="B4" s="42"/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8"/>
      <c r="W4" s="32"/>
      <c r="X4" s="273" t="s">
        <v>279</v>
      </c>
      <c r="Y4" s="274">
        <f>'2 Inv Calcs'!BY10</f>
        <v>25</v>
      </c>
    </row>
    <row r="5" spans="1:25" x14ac:dyDescent="0.2">
      <c r="A5" s="32"/>
      <c r="B5" s="42"/>
      <c r="C5" s="397" t="s">
        <v>98</v>
      </c>
      <c r="D5" s="397"/>
      <c r="E5" s="397"/>
      <c r="F5" s="397"/>
      <c r="G5" s="397"/>
      <c r="H5" s="397"/>
      <c r="I5" s="397"/>
      <c r="J5" s="397"/>
      <c r="K5" s="397"/>
      <c r="L5" s="397"/>
      <c r="M5" s="397"/>
      <c r="N5" s="25"/>
      <c r="O5" s="25"/>
      <c r="P5" s="25"/>
      <c r="Q5" s="25"/>
      <c r="R5" s="25"/>
      <c r="S5" s="25"/>
      <c r="T5" s="25"/>
      <c r="U5" s="25"/>
      <c r="V5" s="28"/>
      <c r="W5" s="32"/>
      <c r="X5" s="273" t="s">
        <v>643</v>
      </c>
      <c r="Y5" s="274">
        <f>'2 Inv Input'!D14</f>
        <v>1</v>
      </c>
    </row>
    <row r="6" spans="1:25" x14ac:dyDescent="0.2">
      <c r="A6" s="32"/>
      <c r="B6" s="42"/>
      <c r="C6" s="396"/>
      <c r="D6" s="396"/>
      <c r="E6" s="396"/>
      <c r="F6" s="396"/>
      <c r="G6" s="396"/>
      <c r="H6" s="396" t="s">
        <v>581</v>
      </c>
      <c r="I6" s="396"/>
      <c r="J6" s="396"/>
      <c r="K6" s="396" t="s">
        <v>582</v>
      </c>
      <c r="L6" s="396"/>
      <c r="M6" s="396"/>
      <c r="N6" s="94"/>
      <c r="O6" s="94"/>
      <c r="P6" s="94"/>
      <c r="Q6" s="94"/>
      <c r="R6" s="94"/>
      <c r="S6" s="94"/>
      <c r="T6" s="94"/>
      <c r="U6" s="94"/>
      <c r="V6" s="28"/>
      <c r="W6" s="32"/>
      <c r="X6" s="273" t="s">
        <v>642</v>
      </c>
      <c r="Y6" s="279">
        <f>'2 Inv Input'!D15</f>
        <v>1</v>
      </c>
    </row>
    <row r="7" spans="1:25" x14ac:dyDescent="0.2">
      <c r="A7" s="32"/>
      <c r="B7" s="42"/>
      <c r="C7" s="397"/>
      <c r="D7" s="397"/>
      <c r="E7" s="397"/>
      <c r="F7" s="397"/>
      <c r="G7" s="397"/>
      <c r="H7" s="97" t="s">
        <v>135</v>
      </c>
      <c r="I7" s="97" t="s">
        <v>216</v>
      </c>
      <c r="J7" s="97" t="s">
        <v>217</v>
      </c>
      <c r="K7" s="97" t="s">
        <v>135</v>
      </c>
      <c r="L7" s="97" t="s">
        <v>216</v>
      </c>
      <c r="M7" s="97" t="s">
        <v>217</v>
      </c>
      <c r="N7" s="94"/>
      <c r="O7" s="94"/>
      <c r="P7" s="94"/>
      <c r="Q7" s="94"/>
      <c r="R7" s="94"/>
      <c r="S7" s="94"/>
      <c r="T7" s="94"/>
      <c r="U7" s="94"/>
      <c r="V7" s="28"/>
      <c r="W7" s="32"/>
      <c r="X7" s="273" t="s">
        <v>275</v>
      </c>
      <c r="Y7" s="274">
        <f>LOOKUP('2 Inv Calcs'!AW14,1/('2 Inv Calcs'!AB8:AB44&lt;='2 Inv Calcs'!AW14)/('2 Inv Calcs'!AC8:AC44&gt;='2 Inv Calcs'!AW14),'2 Inv Calcs'!AA8:AA44)</f>
        <v>40</v>
      </c>
    </row>
    <row r="8" spans="1:25" x14ac:dyDescent="0.2">
      <c r="A8" s="32"/>
      <c r="B8" s="42"/>
      <c r="C8" s="404" t="s">
        <v>137</v>
      </c>
      <c r="D8" s="404"/>
      <c r="E8" s="404"/>
      <c r="F8" s="404"/>
      <c r="G8" s="404"/>
      <c r="H8" s="97" t="str">
        <f t="shared" ref="H8:M8" si="0">IF(H9="N/A","N/A",$K$20)</f>
        <v>15A</v>
      </c>
      <c r="I8" s="97" t="str">
        <f t="shared" si="0"/>
        <v>N/A</v>
      </c>
      <c r="J8" s="97" t="str">
        <f t="shared" si="0"/>
        <v>N/A</v>
      </c>
      <c r="K8" s="97" t="str">
        <f t="shared" si="0"/>
        <v>15A</v>
      </c>
      <c r="L8" s="97" t="str">
        <f t="shared" si="0"/>
        <v>N/A</v>
      </c>
      <c r="M8" s="97" t="str">
        <f t="shared" si="0"/>
        <v>N/A</v>
      </c>
      <c r="N8" s="94"/>
      <c r="O8" s="94"/>
      <c r="P8" s="396" t="s">
        <v>138</v>
      </c>
      <c r="Q8" s="396"/>
      <c r="R8" s="396"/>
      <c r="S8" s="396"/>
      <c r="T8" s="396"/>
      <c r="U8" s="396"/>
      <c r="V8" s="28"/>
      <c r="W8" s="32"/>
      <c r="X8" s="273" t="s">
        <v>276</v>
      </c>
      <c r="Y8" s="274">
        <f>LOOKUP('2 Inv Calcs'!AW14,1/('2 Inv Calcs'!AB52:AB58&lt;='2 Inv Calcs'!AW14)/('2 Inv Calcs'!AC52:AC58&gt;='2 Inv Calcs'!AW14),'2 Inv Calcs'!AA52:AA58)</f>
        <v>60</v>
      </c>
    </row>
    <row r="9" spans="1:25" x14ac:dyDescent="0.2">
      <c r="A9" s="32"/>
      <c r="B9" s="42"/>
      <c r="C9" s="404" t="s">
        <v>142</v>
      </c>
      <c r="D9" s="404"/>
      <c r="E9" s="404"/>
      <c r="F9" s="404"/>
      <c r="G9" s="404"/>
      <c r="H9" s="97">
        <f>'2 Inv Input'!G12</f>
        <v>1</v>
      </c>
      <c r="I9" s="97" t="str">
        <f>'2 Inv Input'!G13</f>
        <v>N/A</v>
      </c>
      <c r="J9" s="97" t="str">
        <f>'2 Inv Input'!G14</f>
        <v>N/A</v>
      </c>
      <c r="K9" s="97">
        <f>'2 Inv Input'!G22</f>
        <v>1</v>
      </c>
      <c r="L9" s="97" t="str">
        <f>'2 Inv Input'!G23</f>
        <v>N/A</v>
      </c>
      <c r="M9" s="97" t="str">
        <f>'2 Inv Input'!G24</f>
        <v>N/A</v>
      </c>
      <c r="N9" s="50"/>
      <c r="O9" s="94"/>
      <c r="P9" s="404" t="s">
        <v>143</v>
      </c>
      <c r="Q9" s="404"/>
      <c r="R9" s="408" t="str">
        <f>'2 Inv Calcs'!BR6</f>
        <v>SE3000H-US</v>
      </c>
      <c r="S9" s="408"/>
      <c r="T9" s="408" t="str">
        <f>'2 Inv Calcs'!BV6</f>
        <v>SE3000H-US</v>
      </c>
      <c r="U9" s="408"/>
      <c r="V9" s="28"/>
      <c r="W9" s="32"/>
      <c r="X9" s="273" t="s">
        <v>125</v>
      </c>
      <c r="Y9" s="274" t="str">
        <f>'2 Inv Input'!D19</f>
        <v>P320</v>
      </c>
    </row>
    <row r="10" spans="1:25" x14ac:dyDescent="0.2">
      <c r="A10" s="32"/>
      <c r="B10" s="42"/>
      <c r="C10" s="404" t="s">
        <v>146</v>
      </c>
      <c r="D10" s="404"/>
      <c r="E10" s="404"/>
      <c r="F10" s="404"/>
      <c r="G10" s="404"/>
      <c r="H10" s="397" t="str">
        <f>CONCATENATE(SUM(H9:J9)*LEFT(H16,3),"W")</f>
        <v>300W</v>
      </c>
      <c r="I10" s="397"/>
      <c r="J10" s="397"/>
      <c r="K10" s="397" t="str">
        <f>CONCATENATE(SUM(K9:M9)*LEFT(H16,3),"W")</f>
        <v>300W</v>
      </c>
      <c r="L10" s="397"/>
      <c r="M10" s="397"/>
      <c r="N10" s="94"/>
      <c r="O10" s="94"/>
      <c r="P10" s="404" t="s">
        <v>147</v>
      </c>
      <c r="Q10" s="404"/>
      <c r="R10" s="409" t="str">
        <f>CONCATENATE(VLOOKUP(R9,'2 Inv Calcs'!BR23:BS36,2,FALSE),"W")</f>
        <v>5700W</v>
      </c>
      <c r="S10" s="409"/>
      <c r="T10" s="409" t="str">
        <f>CONCATENATE(VLOOKUP(T9,'2 Inv Calcs'!BV23:BW36,2,FALSE),"W")</f>
        <v>5700W</v>
      </c>
      <c r="U10" s="409"/>
      <c r="V10" s="28"/>
      <c r="W10" s="32"/>
      <c r="X10" s="273" t="s">
        <v>644</v>
      </c>
      <c r="Y10" s="274" t="str">
        <f>'2 Inv Input'!G15</f>
        <v>SE3000H-US</v>
      </c>
    </row>
    <row r="11" spans="1:25" x14ac:dyDescent="0.2">
      <c r="A11" s="32"/>
      <c r="B11" s="42"/>
      <c r="C11" s="404" t="s">
        <v>100</v>
      </c>
      <c r="D11" s="404"/>
      <c r="E11" s="404"/>
      <c r="F11" s="404"/>
      <c r="G11" s="404"/>
      <c r="H11" s="397" t="str">
        <f>N25</f>
        <v>12.5A</v>
      </c>
      <c r="I11" s="397"/>
      <c r="J11" s="397"/>
      <c r="K11" s="397" t="str">
        <f>N26</f>
        <v>12.5A</v>
      </c>
      <c r="L11" s="397"/>
      <c r="M11" s="397"/>
      <c r="N11" s="94"/>
      <c r="O11" s="94"/>
      <c r="P11" s="404" t="s">
        <v>151</v>
      </c>
      <c r="Q11" s="404"/>
      <c r="R11" s="409" t="str">
        <f>H16</f>
        <v>300W</v>
      </c>
      <c r="S11" s="409"/>
      <c r="T11" s="409" t="str">
        <f>H16</f>
        <v>300W</v>
      </c>
      <c r="U11" s="409"/>
      <c r="V11" s="28"/>
      <c r="W11" s="32"/>
      <c r="X11" s="273" t="s">
        <v>645</v>
      </c>
      <c r="Y11" s="274" t="str">
        <f>'2 Inv Input'!G25</f>
        <v>SE3000H-US</v>
      </c>
    </row>
    <row r="12" spans="1:25" x14ac:dyDescent="0.2">
      <c r="A12" s="32"/>
      <c r="B12" s="42"/>
      <c r="C12" s="404" t="s">
        <v>154</v>
      </c>
      <c r="D12" s="404"/>
      <c r="E12" s="404"/>
      <c r="F12" s="404"/>
      <c r="G12" s="404"/>
      <c r="H12" s="397" t="str">
        <f>L25</f>
        <v>3000W</v>
      </c>
      <c r="I12" s="397"/>
      <c r="J12" s="397"/>
      <c r="K12" s="397" t="str">
        <f>L26</f>
        <v>3000W</v>
      </c>
      <c r="L12" s="397"/>
      <c r="M12" s="397"/>
      <c r="N12" s="94"/>
      <c r="O12" s="94"/>
      <c r="P12" s="404" t="s">
        <v>155</v>
      </c>
      <c r="Q12" s="404"/>
      <c r="R12" s="408">
        <f>ROUNDDOWN(LEFT(R10,4)/(LEFT(R11,3)),0)</f>
        <v>19</v>
      </c>
      <c r="S12" s="408"/>
      <c r="T12" s="408">
        <f>ROUNDDOWN(LEFT(T10,4)/(LEFT(T11,3)),0)</f>
        <v>19</v>
      </c>
      <c r="U12" s="408"/>
      <c r="V12" s="28"/>
      <c r="W12" s="32"/>
      <c r="X12" s="273" t="s">
        <v>272</v>
      </c>
      <c r="Y12" s="274">
        <f>H9</f>
        <v>1</v>
      </c>
    </row>
    <row r="13" spans="1:25" x14ac:dyDescent="0.2">
      <c r="A13" s="32"/>
      <c r="B13" s="42"/>
      <c r="C13" s="26"/>
      <c r="D13" s="26"/>
      <c r="E13" s="26"/>
      <c r="F13" s="26"/>
      <c r="G13" s="26"/>
      <c r="H13" s="26"/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8"/>
      <c r="W13" s="32"/>
      <c r="X13" s="273" t="s">
        <v>273</v>
      </c>
      <c r="Y13" s="274" t="str">
        <f>I9</f>
        <v>N/A</v>
      </c>
    </row>
    <row r="14" spans="1:25" x14ac:dyDescent="0.2">
      <c r="A14" s="32"/>
      <c r="B14" s="42"/>
      <c r="C14" s="405" t="s">
        <v>162</v>
      </c>
      <c r="D14" s="406"/>
      <c r="E14" s="406"/>
      <c r="F14" s="406"/>
      <c r="G14" s="406"/>
      <c r="H14" s="406"/>
      <c r="I14" s="406"/>
      <c r="J14" s="406"/>
      <c r="K14" s="406"/>
      <c r="L14" s="406"/>
      <c r="M14" s="406"/>
      <c r="N14" s="406"/>
      <c r="O14" s="406"/>
      <c r="P14" s="406"/>
      <c r="Q14" s="406"/>
      <c r="R14" s="406"/>
      <c r="S14" s="406"/>
      <c r="T14" s="406"/>
      <c r="U14" s="407"/>
      <c r="V14" s="28"/>
      <c r="W14" s="32"/>
      <c r="X14" s="273" t="s">
        <v>274</v>
      </c>
      <c r="Y14" s="274" t="str">
        <f>J9</f>
        <v>N/A</v>
      </c>
    </row>
    <row r="15" spans="1:25" x14ac:dyDescent="0.2">
      <c r="A15" s="32"/>
      <c r="B15" s="42"/>
      <c r="C15" s="405" t="s">
        <v>218</v>
      </c>
      <c r="D15" s="407"/>
      <c r="E15" s="396" t="s">
        <v>101</v>
      </c>
      <c r="F15" s="396"/>
      <c r="G15" s="396"/>
      <c r="H15" s="396" t="s">
        <v>165</v>
      </c>
      <c r="I15" s="396"/>
      <c r="J15" s="396" t="s">
        <v>166</v>
      </c>
      <c r="K15" s="396"/>
      <c r="L15" s="396" t="s">
        <v>167</v>
      </c>
      <c r="M15" s="396"/>
      <c r="N15" s="396" t="s">
        <v>168</v>
      </c>
      <c r="O15" s="396"/>
      <c r="P15" s="396" t="s">
        <v>169</v>
      </c>
      <c r="Q15" s="396"/>
      <c r="R15" s="396" t="s">
        <v>170</v>
      </c>
      <c r="S15" s="396"/>
      <c r="T15" s="396" t="s">
        <v>171</v>
      </c>
      <c r="U15" s="396"/>
      <c r="V15" s="28"/>
      <c r="W15" s="32"/>
      <c r="X15" s="273" t="s">
        <v>646</v>
      </c>
      <c r="Y15" s="274">
        <f>K9</f>
        <v>1</v>
      </c>
    </row>
    <row r="16" spans="1:25" x14ac:dyDescent="0.2">
      <c r="A16" s="32"/>
      <c r="B16" s="42"/>
      <c r="C16" s="401">
        <f>SUM(H9:M9)</f>
        <v>2</v>
      </c>
      <c r="D16" s="403"/>
      <c r="E16" s="397" t="str">
        <f>'2 Inv Input'!D12</f>
        <v>SILFAB SLA-M 300W</v>
      </c>
      <c r="F16" s="397"/>
      <c r="G16" s="397"/>
      <c r="H16" s="397" t="str">
        <f>VLOOKUP(E16,Panels!$B$4:$I$103,2,FALSE)</f>
        <v>300W</v>
      </c>
      <c r="I16" s="397"/>
      <c r="J16" s="397" t="str">
        <f>VLOOKUP(E16,Panels!$B$4:$I$103,3,FALSE)</f>
        <v>9.71A</v>
      </c>
      <c r="K16" s="397"/>
      <c r="L16" s="397" t="str">
        <f>VLOOKUP(E16,Panels!$B$4:$I$103,4,FALSE)</f>
        <v>9.16A</v>
      </c>
      <c r="M16" s="397"/>
      <c r="N16" s="397" t="str">
        <f>VLOOKUP(E16,Panels!$B$4:$I$103,5,FALSE)</f>
        <v>39.85V</v>
      </c>
      <c r="O16" s="397"/>
      <c r="P16" s="397" t="str">
        <f>VLOOKUP(E16,Panels!$B$4:$I$103,6,FALSE)</f>
        <v>32.80V</v>
      </c>
      <c r="Q16" s="397"/>
      <c r="R16" s="397" t="str">
        <f>VLOOKUP(E16,Panels!$B$4:$I$103,7,FALSE)</f>
        <v>-0.30%/°C</v>
      </c>
      <c r="S16" s="397"/>
      <c r="T16" s="397" t="str">
        <f>VLOOKUP(E16,Panels!$B$4:$I$103,8,FALSE)</f>
        <v>15A</v>
      </c>
      <c r="U16" s="397"/>
      <c r="V16" s="28"/>
      <c r="W16" s="32"/>
      <c r="X16" s="273" t="s">
        <v>647</v>
      </c>
      <c r="Y16" s="274" t="str">
        <f>L9</f>
        <v>N/A</v>
      </c>
    </row>
    <row r="17" spans="1:25" x14ac:dyDescent="0.2">
      <c r="A17" s="32"/>
      <c r="B17" s="42"/>
      <c r="C17" s="27"/>
      <c r="D17" s="27"/>
      <c r="E17" s="27"/>
      <c r="F17" s="27"/>
      <c r="G17" s="27"/>
      <c r="H17" s="27"/>
      <c r="I17" s="27"/>
      <c r="J17" s="27"/>
      <c r="K17" s="27"/>
      <c r="L17" s="27"/>
      <c r="M17" s="27"/>
      <c r="N17" s="27"/>
      <c r="O17" s="27"/>
      <c r="P17" s="27"/>
      <c r="Q17" s="27"/>
      <c r="R17" s="27"/>
      <c r="S17" s="27"/>
      <c r="T17" s="27"/>
      <c r="U17" s="27"/>
      <c r="V17" s="28"/>
      <c r="W17" s="32"/>
      <c r="X17" s="273" t="s">
        <v>648</v>
      </c>
      <c r="Y17" s="274" t="str">
        <f>M9</f>
        <v>N/A</v>
      </c>
    </row>
    <row r="18" spans="1:25" x14ac:dyDescent="0.2">
      <c r="A18" s="32"/>
      <c r="B18" s="42"/>
      <c r="C18" s="396" t="s">
        <v>177</v>
      </c>
      <c r="D18" s="396"/>
      <c r="E18" s="396"/>
      <c r="F18" s="396"/>
      <c r="G18" s="396"/>
      <c r="H18" s="396"/>
      <c r="I18" s="396"/>
      <c r="J18" s="396"/>
      <c r="K18" s="396"/>
      <c r="L18" s="396"/>
      <c r="M18" s="396"/>
      <c r="N18" s="396"/>
      <c r="O18" s="396"/>
      <c r="P18" s="396"/>
      <c r="Q18" s="396"/>
      <c r="R18" s="396"/>
      <c r="S18" s="396"/>
      <c r="T18" s="396"/>
      <c r="U18" s="396"/>
      <c r="V18" s="28"/>
      <c r="W18" s="32"/>
      <c r="X18" s="273" t="s">
        <v>649</v>
      </c>
      <c r="Y18" s="279">
        <f>IF('2 Inv Calcs'!BZ10&gt;100,200,100)</f>
        <v>100</v>
      </c>
    </row>
    <row r="19" spans="1:25" x14ac:dyDescent="0.2">
      <c r="A19" s="32"/>
      <c r="B19" s="42"/>
      <c r="C19" s="405" t="s">
        <v>218</v>
      </c>
      <c r="D19" s="407"/>
      <c r="E19" s="396" t="s">
        <v>101</v>
      </c>
      <c r="F19" s="396"/>
      <c r="G19" s="396"/>
      <c r="H19" s="396" t="s">
        <v>178</v>
      </c>
      <c r="I19" s="396"/>
      <c r="J19" s="396"/>
      <c r="K19" s="413" t="s">
        <v>99</v>
      </c>
      <c r="L19" s="413"/>
      <c r="M19" s="413"/>
      <c r="N19" s="396" t="s">
        <v>179</v>
      </c>
      <c r="O19" s="396"/>
      <c r="P19" s="396"/>
      <c r="Q19" s="396" t="s">
        <v>180</v>
      </c>
      <c r="R19" s="396"/>
      <c r="S19" s="396" t="s">
        <v>181</v>
      </c>
      <c r="T19" s="396"/>
      <c r="U19" s="396"/>
      <c r="V19" s="28"/>
      <c r="W19" s="32"/>
      <c r="X19" s="273" t="s">
        <v>650</v>
      </c>
      <c r="Y19" s="35" t="str">
        <f>LEFT(E30,LEN(E30)-1)</f>
        <v>20</v>
      </c>
    </row>
    <row r="20" spans="1:25" x14ac:dyDescent="0.2">
      <c r="A20" s="32"/>
      <c r="B20" s="42"/>
      <c r="C20" s="401">
        <f>SUM(H9:M9)</f>
        <v>2</v>
      </c>
      <c r="D20" s="403"/>
      <c r="E20" s="397" t="str">
        <f>'2 Inv Calcs'!BN21</f>
        <v>SOLAREDGE P320</v>
      </c>
      <c r="F20" s="397"/>
      <c r="G20" s="397"/>
      <c r="H20" s="397" t="str">
        <f>CONCATENATE('2 Inv Calcs'!BN8,"W")</f>
        <v>320W</v>
      </c>
      <c r="I20" s="397"/>
      <c r="J20" s="397"/>
      <c r="K20" s="396" t="str">
        <f>CONCATENATE('2 Inv Calcs'!BY3,"A")</f>
        <v>15A</v>
      </c>
      <c r="L20" s="396"/>
      <c r="M20" s="396"/>
      <c r="N20" s="397" t="str">
        <f>CONCATENATE('2 Inv Calcs'!BN12,"A")</f>
        <v>11A</v>
      </c>
      <c r="O20" s="397"/>
      <c r="P20" s="397"/>
      <c r="Q20" s="397" t="str">
        <f>CONCATENATE('2 Inv Calcs'!BN9,"V")</f>
        <v>48V</v>
      </c>
      <c r="R20" s="397"/>
      <c r="S20" s="423">
        <f>'2 Inv Calcs'!BN15/100</f>
        <v>0.98799999999999999</v>
      </c>
      <c r="T20" s="423"/>
      <c r="U20" s="423"/>
      <c r="V20" s="28"/>
      <c r="W20" s="32"/>
      <c r="X20" s="277" t="s">
        <v>651</v>
      </c>
      <c r="Y20" s="40" t="str">
        <f>LEFT(E31,LEN(E31)-1)</f>
        <v>20</v>
      </c>
    </row>
    <row r="21" spans="1:25" x14ac:dyDescent="0.2">
      <c r="A21" s="32"/>
      <c r="B21" s="42"/>
      <c r="C21" s="27"/>
      <c r="D21" s="27"/>
      <c r="E21" s="27"/>
      <c r="F21" s="27"/>
      <c r="G21" s="27"/>
      <c r="H21" s="27"/>
      <c r="I21" s="27"/>
      <c r="J21" s="27"/>
      <c r="K21" s="27"/>
      <c r="L21" s="27"/>
      <c r="M21" s="27"/>
      <c r="N21" s="27"/>
      <c r="O21" s="27"/>
      <c r="P21" s="27"/>
      <c r="Q21" s="27"/>
      <c r="R21" s="27"/>
      <c r="S21" s="27"/>
      <c r="T21" s="27"/>
      <c r="U21" s="27"/>
      <c r="V21" s="28"/>
      <c r="W21" s="32"/>
      <c r="X21" s="398" t="s">
        <v>544</v>
      </c>
      <c r="Y21" s="399"/>
    </row>
    <row r="22" spans="1:25" x14ac:dyDescent="0.2">
      <c r="A22" s="32"/>
      <c r="B22" s="42"/>
      <c r="C22" s="396" t="s">
        <v>183</v>
      </c>
      <c r="D22" s="396"/>
      <c r="E22" s="396"/>
      <c r="F22" s="396"/>
      <c r="G22" s="396"/>
      <c r="H22" s="396"/>
      <c r="I22" s="396"/>
      <c r="J22" s="424"/>
      <c r="K22" s="424"/>
      <c r="L22" s="424"/>
      <c r="M22" s="424"/>
      <c r="N22" s="396"/>
      <c r="O22" s="396"/>
      <c r="P22" s="396"/>
      <c r="Q22" s="396"/>
      <c r="R22" s="396"/>
      <c r="S22" s="396"/>
      <c r="T22" s="396"/>
      <c r="U22" s="396"/>
      <c r="V22" s="28"/>
      <c r="W22" s="32"/>
      <c r="X22" s="41" t="s">
        <v>331</v>
      </c>
      <c r="Y22" s="278" t="str">
        <f>IF('2 Inv Input'!J33="No","Not Needed",CONCATENATE(IF(ISNUMBER(SEARCH("VISIBLE",'2 Inv Input'!D33)),"Visible, ",IF(ISNUMBER(SEARCH("Generator Isolation Device",Input!D29)),"Generator Isolation Device, ","")),IF(Y24="PV Breaker","Non-Fused","Fused")))</f>
        <v>Fused</v>
      </c>
    </row>
    <row r="23" spans="1:25" ht="15.75" customHeight="1" x14ac:dyDescent="0.2">
      <c r="A23" s="32"/>
      <c r="B23" s="42"/>
      <c r="C23" s="414" t="s">
        <v>218</v>
      </c>
      <c r="D23" s="415"/>
      <c r="E23" s="413" t="s">
        <v>101</v>
      </c>
      <c r="F23" s="413"/>
      <c r="G23" s="413"/>
      <c r="H23" s="413" t="s">
        <v>102</v>
      </c>
      <c r="I23" s="413"/>
      <c r="J23" s="414" t="s">
        <v>184</v>
      </c>
      <c r="K23" s="415"/>
      <c r="L23" s="419" t="s">
        <v>185</v>
      </c>
      <c r="M23" s="420"/>
      <c r="N23" s="418" t="s">
        <v>99</v>
      </c>
      <c r="O23" s="418"/>
      <c r="P23" s="418" t="s">
        <v>186</v>
      </c>
      <c r="Q23" s="418"/>
      <c r="R23" s="418" t="s">
        <v>187</v>
      </c>
      <c r="S23" s="418"/>
      <c r="T23" s="418" t="s">
        <v>188</v>
      </c>
      <c r="U23" s="418"/>
      <c r="V23" s="28"/>
      <c r="W23" s="32"/>
      <c r="X23" s="42" t="s">
        <v>357</v>
      </c>
      <c r="Y23" s="279" t="str">
        <f>IF(ISNUMBER(SEARCH("Regrowth",'2 Inv Input'!D7)),"Regrowth Meter",IF('2 Inv Input'!J34="No","Not Needed",IF(ISNUMBER(SEARCH("MA SMART",'2 Inv Input'!D34)),"MA Smart Generation Meter",IF(ISNUMBER(SEARCH("CUSTOMER",'2 Inv Input'!D34)),"Customer Generation Meter","PV Meter"))))</f>
        <v>Not Needed</v>
      </c>
    </row>
    <row r="24" spans="1:25" ht="15" customHeight="1" x14ac:dyDescent="0.2">
      <c r="A24" s="32"/>
      <c r="B24" s="42"/>
      <c r="C24" s="416"/>
      <c r="D24" s="417"/>
      <c r="E24" s="413"/>
      <c r="F24" s="413"/>
      <c r="G24" s="413"/>
      <c r="H24" s="413"/>
      <c r="I24" s="413"/>
      <c r="J24" s="416"/>
      <c r="K24" s="417"/>
      <c r="L24" s="421"/>
      <c r="M24" s="422"/>
      <c r="N24" s="418"/>
      <c r="O24" s="418"/>
      <c r="P24" s="418"/>
      <c r="Q24" s="418"/>
      <c r="R24" s="418"/>
      <c r="S24" s="418"/>
      <c r="T24" s="418"/>
      <c r="U24" s="418"/>
      <c r="V24" s="28"/>
      <c r="W24" s="32"/>
      <c r="X24" s="42" t="s">
        <v>491</v>
      </c>
      <c r="Y24" s="279" t="str">
        <f>IF(ISNUMBER(SEARCH("Regrowth",'2 Inv Input'!D7)),"Regrowth Specific Line Diagram",IF('2 Inv Input'!J35="Yes","Line-Side Tap","PV Breaker"))</f>
        <v>Line-Side Tap</v>
      </c>
    </row>
    <row r="25" spans="1:25" ht="15" customHeight="1" x14ac:dyDescent="0.2">
      <c r="A25" s="32"/>
      <c r="B25" s="42"/>
      <c r="C25" s="401">
        <v>1</v>
      </c>
      <c r="D25" s="403"/>
      <c r="E25" s="397" t="str">
        <f>'2 Inv Calcs'!BR6</f>
        <v>SE3000H-US</v>
      </c>
      <c r="F25" s="397"/>
      <c r="G25" s="397"/>
      <c r="H25" s="397" t="str">
        <f>CONCATENATE('2 Inv Calcs'!BR18,"V")</f>
        <v>240V</v>
      </c>
      <c r="I25" s="397"/>
      <c r="J25" s="432" t="str">
        <f>VLOOKUP(E25,Inverters!$B$15:$J$28,3,FALSE)</f>
        <v>50A</v>
      </c>
      <c r="K25" s="434"/>
      <c r="L25" s="432" t="str">
        <f>CONCATENATE('2 Inv Calcs'!BR16,"W")</f>
        <v>3000W</v>
      </c>
      <c r="M25" s="434"/>
      <c r="N25" s="396" t="str">
        <f>CONCATENATE('2 Inv Calcs'!BY8,"A")</f>
        <v>12.5A</v>
      </c>
      <c r="O25" s="396"/>
      <c r="P25" s="397" t="str">
        <f>CONCATENATE('2 Inv Calcs'!BR11,"A")</f>
        <v>8.5A</v>
      </c>
      <c r="Q25" s="397"/>
      <c r="R25" s="397" t="str">
        <f>CONCATENATE('2 Inv Calcs'!BR9,"V")</f>
        <v>480V</v>
      </c>
      <c r="S25" s="397"/>
      <c r="T25" s="423">
        <f>'2 Inv Calcs'!BR14/100</f>
        <v>0.99</v>
      </c>
      <c r="U25" s="423"/>
      <c r="V25" s="28"/>
      <c r="W25" s="32"/>
      <c r="X25" s="44" t="s">
        <v>526</v>
      </c>
      <c r="Y25" s="280" t="str">
        <f>IF('2 Inv Input'!D36="Yes","New Bi-Directional","Existing")</f>
        <v>New Bi-Directional</v>
      </c>
    </row>
    <row r="26" spans="1:25" ht="15.75" customHeight="1" x14ac:dyDescent="0.2">
      <c r="A26" s="32"/>
      <c r="B26" s="42"/>
      <c r="C26" s="401">
        <v>1</v>
      </c>
      <c r="D26" s="403"/>
      <c r="E26" s="397" t="str">
        <f>'2 Inv Calcs'!BV6</f>
        <v>SE3000H-US</v>
      </c>
      <c r="F26" s="397"/>
      <c r="G26" s="397"/>
      <c r="H26" s="397" t="str">
        <f>CONCATENATE('2 Inv Calcs'!BV18,"V")</f>
        <v>240V</v>
      </c>
      <c r="I26" s="397"/>
      <c r="J26" s="432" t="str">
        <f>VLOOKUP(E26,Inverters!$B$15:$J$28,3,FALSE)</f>
        <v>50A</v>
      </c>
      <c r="K26" s="434"/>
      <c r="L26" s="432" t="str">
        <f>CONCATENATE('2 Inv Calcs'!BV16,"W")</f>
        <v>3000W</v>
      </c>
      <c r="M26" s="434"/>
      <c r="N26" s="396" t="str">
        <f>CONCATENATE('2 Inv Calcs'!BY9,"A")</f>
        <v>12.5A</v>
      </c>
      <c r="O26" s="396"/>
      <c r="P26" s="397" t="str">
        <f>CONCATENATE('2 Inv Calcs'!BV11,"A")</f>
        <v>8.5A</v>
      </c>
      <c r="Q26" s="397"/>
      <c r="R26" s="397" t="str">
        <f>CONCATENATE('2 Inv Calcs'!BV9,"V")</f>
        <v>480V</v>
      </c>
      <c r="S26" s="397"/>
      <c r="T26" s="423">
        <f>'2 Inv Calcs'!BV14/100</f>
        <v>0.99</v>
      </c>
      <c r="U26" s="423"/>
      <c r="V26" s="28"/>
      <c r="W26" s="32"/>
      <c r="X26" s="281" t="s">
        <v>492</v>
      </c>
      <c r="Y26" s="282" t="s">
        <v>11</v>
      </c>
    </row>
    <row r="27" spans="1:25" ht="15" customHeight="1" x14ac:dyDescent="0.2">
      <c r="A27" s="32"/>
      <c r="B27" s="42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8"/>
      <c r="W27" s="32"/>
      <c r="X27" s="41" t="s">
        <v>331</v>
      </c>
      <c r="Y27" s="278">
        <f>IF('2 Inv Input'!J33="No","Not Needed",IF(AND('2 Inv Input'!J34="Yes",LEFT('2 Inv Input'!D32)="A"),8,7))</f>
        <v>7</v>
      </c>
    </row>
    <row r="28" spans="1:25" ht="15" customHeight="1" x14ac:dyDescent="0.2">
      <c r="A28" s="32"/>
      <c r="B28" s="42"/>
      <c r="C28" s="397" t="s">
        <v>104</v>
      </c>
      <c r="D28" s="397"/>
      <c r="E28" s="397"/>
      <c r="F28" s="397"/>
      <c r="G28" s="397"/>
      <c r="H28" s="397"/>
      <c r="I28" s="397"/>
      <c r="J28" s="397"/>
      <c r="K28" s="397" t="s">
        <v>105</v>
      </c>
      <c r="L28" s="397"/>
      <c r="M28" s="397"/>
      <c r="N28" s="397"/>
      <c r="O28" s="397"/>
      <c r="P28" s="397"/>
      <c r="Q28" s="397"/>
      <c r="R28" s="397"/>
      <c r="S28" s="397"/>
      <c r="T28" s="397"/>
      <c r="U28" s="397"/>
      <c r="V28" s="28"/>
      <c r="W28" s="32"/>
      <c r="X28" s="42" t="s">
        <v>357</v>
      </c>
      <c r="Y28" s="279" t="str">
        <f>IF('2 Inv Input'!J34="No","Not Needed",IF(AND('2 Inv Input'!J33="Yes",LEFT('2 Inv Input'!D32,1)="P"),8,7))</f>
        <v>Not Needed</v>
      </c>
    </row>
    <row r="29" spans="1:25" ht="15" customHeight="1" x14ac:dyDescent="0.2">
      <c r="A29" s="32"/>
      <c r="B29" s="42"/>
      <c r="C29" s="397" t="s">
        <v>218</v>
      </c>
      <c r="D29" s="397"/>
      <c r="E29" s="397" t="s">
        <v>106</v>
      </c>
      <c r="F29" s="397"/>
      <c r="G29" s="397"/>
      <c r="H29" s="397" t="s">
        <v>107</v>
      </c>
      <c r="I29" s="397"/>
      <c r="J29" s="397"/>
      <c r="K29" s="397" t="s">
        <v>99</v>
      </c>
      <c r="L29" s="397"/>
      <c r="M29" s="397"/>
      <c r="N29" s="397"/>
      <c r="O29" s="397" t="s">
        <v>108</v>
      </c>
      <c r="P29" s="397"/>
      <c r="Q29" s="397"/>
      <c r="R29" s="397" t="s">
        <v>602</v>
      </c>
      <c r="S29" s="397"/>
      <c r="T29" s="397"/>
      <c r="U29" s="397"/>
      <c r="V29" s="28"/>
      <c r="W29" s="32"/>
      <c r="X29" s="42" t="s">
        <v>491</v>
      </c>
      <c r="Y29" s="279">
        <f>IF(AND('2 Inv Input'!J33="No",'2 Inv Input'!J34="No"),7,IF(AND('2 Inv Input'!J33="Yes",'2 Inv Input'!J34="Yes"),9,8))</f>
        <v>8</v>
      </c>
    </row>
    <row r="30" spans="1:25" ht="15.75" customHeight="1" x14ac:dyDescent="0.2">
      <c r="A30" s="32"/>
      <c r="B30" s="42"/>
      <c r="C30" s="397">
        <v>1</v>
      </c>
      <c r="D30" s="397"/>
      <c r="E30" s="397" t="str">
        <f>CONCATENATE(LOOKUP('2 Inv Calcs'!BZ8,1/('2 Inv Calcs'!$AB$8:$AB$44&lt;='2 Inv Calcs'!BZ8)/('2 Inv Calcs'!$AC$8:$AC$44&gt;='2 Inv Calcs'!BZ8),'2 Inv Calcs'!$AA$8:$AA$44),"A")</f>
        <v>20A</v>
      </c>
      <c r="F30" s="397"/>
      <c r="G30" s="397"/>
      <c r="H30" s="397" t="s">
        <v>103</v>
      </c>
      <c r="I30" s="397"/>
      <c r="J30" s="397"/>
      <c r="K30" s="397" t="str">
        <f>N25</f>
        <v>12.5A</v>
      </c>
      <c r="L30" s="397"/>
      <c r="M30" s="397"/>
      <c r="N30" s="397"/>
      <c r="O30" s="571">
        <v>1.25</v>
      </c>
      <c r="P30" s="397"/>
      <c r="Q30" s="397"/>
      <c r="R30" s="397" t="str">
        <f>CONCATENATE('2 Inv Calcs'!BZ8,"A")</f>
        <v>15.625A</v>
      </c>
      <c r="S30" s="397"/>
      <c r="T30" s="397"/>
      <c r="U30" s="397"/>
      <c r="V30" s="28"/>
      <c r="W30" s="32"/>
      <c r="X30" s="44" t="s">
        <v>112</v>
      </c>
      <c r="Y30" s="280">
        <f>IF('2 Inv Input'!J35="Yes",Y27,Y29)</f>
        <v>7</v>
      </c>
    </row>
    <row r="31" spans="1:25" ht="15" customHeight="1" x14ac:dyDescent="0.2">
      <c r="A31" s="32"/>
      <c r="B31" s="42"/>
      <c r="C31" s="397">
        <v>1</v>
      </c>
      <c r="D31" s="397"/>
      <c r="E31" s="397" t="str">
        <f>CONCATENATE(LOOKUP('2 Inv Calcs'!BZ9,1/('2 Inv Calcs'!$AB$8:$AB$44&lt;='2 Inv Calcs'!BZ9)/('2 Inv Calcs'!$AC$8:$AC$44&gt;='2 Inv Calcs'!BZ9),'2 Inv Calcs'!$AA$8:$AA$44),"A")</f>
        <v>20A</v>
      </c>
      <c r="F31" s="397"/>
      <c r="G31" s="397"/>
      <c r="H31" s="397" t="s">
        <v>103</v>
      </c>
      <c r="I31" s="397"/>
      <c r="J31" s="397"/>
      <c r="K31" s="397" t="str">
        <f>N26</f>
        <v>12.5A</v>
      </c>
      <c r="L31" s="397"/>
      <c r="M31" s="397"/>
      <c r="N31" s="397"/>
      <c r="O31" s="571">
        <v>1.25</v>
      </c>
      <c r="P31" s="397"/>
      <c r="Q31" s="397"/>
      <c r="R31" s="397" t="str">
        <f>CONCATENATE('2 Inv Calcs'!BZ9,"A")</f>
        <v>15.625A</v>
      </c>
      <c r="S31" s="397"/>
      <c r="T31" s="397"/>
      <c r="U31" s="397"/>
      <c r="V31" s="28"/>
      <c r="W31" s="32"/>
    </row>
    <row r="32" spans="1:25" ht="15" customHeight="1" x14ac:dyDescent="0.2">
      <c r="A32" s="32"/>
      <c r="B32" s="42"/>
      <c r="C32" s="397">
        <v>1</v>
      </c>
      <c r="D32" s="397"/>
      <c r="E32" s="397" t="str">
        <f>CONCATENATE(LOOKUP('2 Inv Calcs'!BZ10,1/('2 Inv Calcs'!$AB$8:$AB$44&lt;='2 Inv Calcs'!BZ10)/('2 Inv Calcs'!$AC$8:$AC$44&gt;='2 Inv Calcs'!BZ10),'2 Inv Calcs'!$AA$8:$AA$44),"A")</f>
        <v>40A</v>
      </c>
      <c r="F32" s="397"/>
      <c r="G32" s="397"/>
      <c r="H32" s="397" t="s">
        <v>103</v>
      </c>
      <c r="I32" s="397"/>
      <c r="J32" s="397"/>
      <c r="K32" s="397" t="str">
        <f>CONCATENATE('2 Inv Calcs'!BY10,"A")</f>
        <v>25A</v>
      </c>
      <c r="L32" s="397"/>
      <c r="M32" s="397"/>
      <c r="N32" s="397"/>
      <c r="O32" s="571">
        <v>1.25</v>
      </c>
      <c r="P32" s="397"/>
      <c r="Q32" s="397"/>
      <c r="R32" s="397" t="str">
        <f>CONCATENATE('2 Inv Calcs'!BZ10,"A")</f>
        <v>31.25A</v>
      </c>
      <c r="S32" s="397"/>
      <c r="T32" s="397"/>
      <c r="U32" s="397"/>
      <c r="V32" s="28"/>
      <c r="W32" s="32"/>
    </row>
    <row r="33" spans="1:25" ht="15" customHeight="1" x14ac:dyDescent="0.2">
      <c r="A33" s="32"/>
      <c r="B33" s="42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8"/>
      <c r="W33" s="32"/>
      <c r="X33" s="31"/>
      <c r="Y33" s="31"/>
    </row>
    <row r="34" spans="1:25" ht="15.75" customHeight="1" x14ac:dyDescent="0.2">
      <c r="A34" s="32"/>
      <c r="B34" s="42"/>
      <c r="C34" s="248" t="s">
        <v>11</v>
      </c>
      <c r="D34" s="580" t="s">
        <v>210</v>
      </c>
      <c r="E34" s="581"/>
      <c r="F34" s="582"/>
      <c r="G34" s="580" t="s">
        <v>110</v>
      </c>
      <c r="H34" s="582"/>
      <c r="I34" s="580" t="s">
        <v>111</v>
      </c>
      <c r="J34" s="581"/>
      <c r="K34" s="582"/>
      <c r="L34" s="248" t="s">
        <v>112</v>
      </c>
      <c r="M34" s="580" t="s">
        <v>113</v>
      </c>
      <c r="N34" s="581"/>
      <c r="O34" s="582"/>
      <c r="P34" s="580" t="s">
        <v>114</v>
      </c>
      <c r="Q34" s="581"/>
      <c r="R34" s="582"/>
      <c r="S34" s="583" t="s">
        <v>223</v>
      </c>
      <c r="T34" s="583"/>
      <c r="U34" s="583"/>
      <c r="V34" s="28"/>
      <c r="W34" s="32"/>
      <c r="X34" s="31"/>
      <c r="Y34" s="31"/>
    </row>
    <row r="35" spans="1:25" x14ac:dyDescent="0.2">
      <c r="A35" s="32"/>
      <c r="B35" s="42"/>
      <c r="C35" s="197">
        <v>1</v>
      </c>
      <c r="D35" s="572" t="str">
        <f>CONCATENATE('2 Inv Calcs'!BA4," AWG ",'2 Inv Calcs'!AO4,", COPPER")</f>
        <v>10 AWG PV WIRE, COPPER</v>
      </c>
      <c r="E35" s="573"/>
      <c r="F35" s="574"/>
      <c r="G35" s="572" t="str">
        <f>IF('2 Inv Calcs'!AN4="Free Air","FREE AIR",CONCATENATE('2 Inv Calcs'!BE4,""" DIA. EMT"))</f>
        <v>FREE AIR</v>
      </c>
      <c r="H35" s="574"/>
      <c r="I35" s="572" t="s">
        <v>94</v>
      </c>
      <c r="J35" s="573"/>
      <c r="K35" s="574"/>
      <c r="L35" s="193" t="str">
        <f>'2 Inv Calcs'!BF4</f>
        <v>N/A</v>
      </c>
      <c r="M35" s="572" t="str">
        <f>CONCATENATE('2 Inv Calcs'!BC4," AWG ",'2 Inv Calcs'!AP4,", COPPER")</f>
        <v>6 AWG BARE, COPPER</v>
      </c>
      <c r="N35" s="573"/>
      <c r="O35" s="574"/>
      <c r="P35" s="572" t="str">
        <f>IF('2 Inv Calcs'!AT4="Yes",CONCATENATE(ROUND('2 Inv Calcs'!AS4,2),"A (PER STRING)"),CONCATENATE('2 Inv Calcs'!AS4,"A"))</f>
        <v>15A (PER STRING)</v>
      </c>
      <c r="Q35" s="573"/>
      <c r="R35" s="574"/>
      <c r="S35" s="572" t="str">
        <f>IF('2 Inv Calcs'!AT4="Yes","N/A",CONCATENATE(ROUND('2 Inv Calcs'!AW4,2),"A"))</f>
        <v>N/A</v>
      </c>
      <c r="T35" s="573"/>
      <c r="U35" s="574"/>
      <c r="V35" s="28"/>
      <c r="W35" s="32"/>
      <c r="Y35" s="5"/>
    </row>
    <row r="36" spans="1:25" x14ac:dyDescent="0.2">
      <c r="A36" s="32"/>
      <c r="B36" s="42"/>
      <c r="C36" s="197">
        <v>2</v>
      </c>
      <c r="D36" s="572" t="str">
        <f>CONCATENATE('2 Inv Calcs'!BA5," AWG ",'2 Inv Calcs'!AO5,", COPPER")</f>
        <v>10 AWG PV WIRE, COPPER</v>
      </c>
      <c r="E36" s="573"/>
      <c r="F36" s="574"/>
      <c r="G36" s="572" t="str">
        <f>IF('2 Inv Calcs'!AN5="Free Air","FREE AIR",CONCATENATE('2 Inv Calcs'!BE5,""" DIA. EMT"))</f>
        <v>FREE AIR</v>
      </c>
      <c r="H36" s="574"/>
      <c r="I36" s="572" t="s">
        <v>94</v>
      </c>
      <c r="J36" s="573"/>
      <c r="K36" s="574"/>
      <c r="L36" s="193" t="str">
        <f>'2 Inv Calcs'!BF5</f>
        <v>N/A</v>
      </c>
      <c r="M36" s="572" t="str">
        <f>CONCATENATE('2 Inv Calcs'!BC7," AWG ",'2 Inv Calcs'!AP5,", COPPER")</f>
        <v>6 AWG BARE, COPPER</v>
      </c>
      <c r="N36" s="573"/>
      <c r="O36" s="574"/>
      <c r="P36" s="572" t="str">
        <f>IF('2 Inv Calcs'!AT5="Yes",CONCATENATE(ROUND('2 Inv Calcs'!AS5,2),"A (PER STRING)"),CONCATENATE('2 Inv Calcs'!AS5,"A"))</f>
        <v>15A (PER STRING)</v>
      </c>
      <c r="Q36" s="573"/>
      <c r="R36" s="574"/>
      <c r="S36" s="572" t="str">
        <f>IF('2 Inv Calcs'!AT5="Yes","N/A",CONCATENATE(ROUND('2 Inv Calcs'!AW5,2),"A"))</f>
        <v>N/A</v>
      </c>
      <c r="T36" s="573"/>
      <c r="U36" s="574"/>
      <c r="V36" s="28"/>
      <c r="W36" s="32"/>
      <c r="Y36" s="5"/>
    </row>
    <row r="37" spans="1:25" ht="15" customHeight="1" x14ac:dyDescent="0.2">
      <c r="A37" s="32"/>
      <c r="B37" s="42"/>
      <c r="C37" s="197">
        <v>3</v>
      </c>
      <c r="D37" s="572" t="str">
        <f>CONCATENATE('2 Inv Calcs'!BA10," AWG ",'2 Inv Calcs'!AO10,", COPPER")</f>
        <v>10 AWG THWN-2, COPPER</v>
      </c>
      <c r="E37" s="573"/>
      <c r="F37" s="574"/>
      <c r="G37" s="572" t="str">
        <f>IF('2 Inv Calcs'!AN10="Free Air","FREE AIR",CONCATENATE('2 Inv Calcs'!BE10,""" DIA. EMT"))</f>
        <v>0.75" DIA. EMT</v>
      </c>
      <c r="H37" s="574"/>
      <c r="I37" s="572">
        <f>'2 Inv Calcs'!AJ10</f>
        <v>2</v>
      </c>
      <c r="J37" s="573"/>
      <c r="K37" s="574"/>
      <c r="L37" s="193" t="str">
        <f>'2 Inv Calcs'!BF6</f>
        <v>N/A</v>
      </c>
      <c r="M37" s="572" t="str">
        <f>CONCATENATE('2 Inv Calcs'!BC10," AWG ",'2 Inv Calcs'!AP10,", COPPER")</f>
        <v>10 AWG THWN-2, COPPER</v>
      </c>
      <c r="N37" s="573"/>
      <c r="O37" s="574"/>
      <c r="P37" s="572" t="str">
        <f>IF('2 Inv Calcs'!AT10="Yes",CONCATENATE(ROUND('2 Inv Calcs'!AS10,2),"A (PER STRING)"),CONCATENATE('2 Inv Calcs'!AS10,"A"))</f>
        <v>15A (PER STRING)</v>
      </c>
      <c r="Q37" s="573"/>
      <c r="R37" s="574"/>
      <c r="S37" s="572" t="str">
        <f>IF('2 Inv Calcs'!AT6="Yes","N/A",CONCATENATE(ROUND('2 Inv Calcs'!AW6,2),"A"))</f>
        <v>N/A</v>
      </c>
      <c r="T37" s="573"/>
      <c r="U37" s="574"/>
      <c r="V37" s="28"/>
      <c r="W37" s="32"/>
    </row>
    <row r="38" spans="1:25" x14ac:dyDescent="0.2">
      <c r="A38" s="32"/>
      <c r="B38" s="42"/>
      <c r="C38" s="197">
        <v>4</v>
      </c>
      <c r="D38" s="572" t="str">
        <f>CONCATENATE('2 Inv Calcs'!BA11," AWG ",'2 Inv Calcs'!AO11,", COPPER")</f>
        <v>10 AWG THWN-2, COPPER</v>
      </c>
      <c r="E38" s="573"/>
      <c r="F38" s="574"/>
      <c r="G38" s="572" t="str">
        <f>IF('2 Inv Calcs'!AN11="Free Air","FREE AIR",CONCATENATE('2 Inv Calcs'!BE11,""" DIA. EMT"))</f>
        <v>0.75" DIA. EMT</v>
      </c>
      <c r="H38" s="574"/>
      <c r="I38" s="572">
        <f>'2 Inv Calcs'!AJ11</f>
        <v>2</v>
      </c>
      <c r="J38" s="573"/>
      <c r="K38" s="574"/>
      <c r="L38" s="193" t="str">
        <f>'2 Inv Calcs'!BF7</f>
        <v>N/A</v>
      </c>
      <c r="M38" s="572" t="str">
        <f>CONCATENATE('2 Inv Calcs'!BC11," AWG ",'2 Inv Calcs'!AP11,", COPPER")</f>
        <v>10 AWG THWN-2, COPPER</v>
      </c>
      <c r="N38" s="573"/>
      <c r="O38" s="574"/>
      <c r="P38" s="572" t="str">
        <f>IF('2 Inv Calcs'!AT11="Yes",CONCATENATE(ROUND('2 Inv Calcs'!AS11,2),"A (PER STRING)"),CONCATENATE('2 Inv Calcs'!AS11,"A"))</f>
        <v>15A (PER STRING)</v>
      </c>
      <c r="Q38" s="573"/>
      <c r="R38" s="574"/>
      <c r="S38" s="572" t="str">
        <f>IF('2 Inv Calcs'!AT7="Yes","N/A",CONCATENATE(ROUND('2 Inv Calcs'!AW7,2),"A"))</f>
        <v>N/A</v>
      </c>
      <c r="T38" s="573"/>
      <c r="U38" s="574"/>
      <c r="V38" s="28"/>
      <c r="W38" s="32"/>
    </row>
    <row r="39" spans="1:25" x14ac:dyDescent="0.2">
      <c r="A39" s="32"/>
      <c r="B39" s="42"/>
      <c r="C39" s="197">
        <v>5</v>
      </c>
      <c r="D39" s="572" t="str">
        <f>CONCATENATE('2 Inv Calcs'!BA12," AWG ",'2 Inv Calcs'!AO12,", COPPER")</f>
        <v>10 AWG THWN-2, COPPER</v>
      </c>
      <c r="E39" s="573"/>
      <c r="F39" s="574"/>
      <c r="G39" s="572" t="str">
        <f>IF('2 Inv Calcs'!AN12="Free Air","FREE AIR",CONCATENATE('2 Inv Calcs'!BE12,""" DIA. EMT"))</f>
        <v>0.75" DIA. EMT</v>
      </c>
      <c r="H39" s="574"/>
      <c r="I39" s="572">
        <v>2</v>
      </c>
      <c r="J39" s="573"/>
      <c r="K39" s="574"/>
      <c r="L39" s="193" t="str">
        <f>CONCATENATE('2 Inv Calcs'!BF12,"A")</f>
        <v>20A</v>
      </c>
      <c r="M39" s="572" t="str">
        <f>CONCATENATE('2 Inv Calcs'!BC12," AWG ",'2 Inv Calcs'!AP12,", COPPER")</f>
        <v>10 AWG THWN-2, COPPER</v>
      </c>
      <c r="N39" s="573"/>
      <c r="O39" s="574"/>
      <c r="P39" s="572" t="str">
        <f>IF('2 Inv Calcs'!AT12="Yes",CONCATENATE(ROUND('2 Inv Calcs'!AS12,2),"A (PER STRING)"),CONCATENATE('2 Inv Calcs'!AS12,"A"))</f>
        <v>12.5A</v>
      </c>
      <c r="Q39" s="573"/>
      <c r="R39" s="574"/>
      <c r="S39" s="572" t="str">
        <f>IF('2 Inv Calcs'!AT12="Yes","N/A",CONCATENATE(ROUND('2 Inv Calcs'!AW12,2),"A"))</f>
        <v>15.63A</v>
      </c>
      <c r="T39" s="573"/>
      <c r="U39" s="574"/>
      <c r="V39" s="28"/>
      <c r="W39" s="32"/>
    </row>
    <row r="40" spans="1:25" x14ac:dyDescent="0.2">
      <c r="A40" s="32"/>
      <c r="B40" s="42"/>
      <c r="C40" s="197">
        <v>6</v>
      </c>
      <c r="D40" s="572" t="str">
        <f>CONCATENATE('2 Inv Calcs'!BA13," AWG ",'2 Inv Calcs'!AO13,", COPPER")</f>
        <v>10 AWG THWN-2, COPPER</v>
      </c>
      <c r="E40" s="573"/>
      <c r="F40" s="574"/>
      <c r="G40" s="572" t="str">
        <f>IF('2 Inv Calcs'!AN13="Free Air","FREE AIR",CONCATENATE('2 Inv Calcs'!BE13,""" DIA. EMT"))</f>
        <v>0.75" DIA. EMT</v>
      </c>
      <c r="H40" s="574"/>
      <c r="I40" s="572">
        <v>2</v>
      </c>
      <c r="J40" s="573"/>
      <c r="K40" s="574"/>
      <c r="L40" s="193" t="str">
        <f>CONCATENATE('2 Inv Calcs'!BF13,"A")</f>
        <v>20A</v>
      </c>
      <c r="M40" s="572" t="str">
        <f>CONCATENATE('2 Inv Calcs'!BC13," AWG ",'2 Inv Calcs'!AP13,", COPPER")</f>
        <v>10 AWG THWN-2, COPPER</v>
      </c>
      <c r="N40" s="573"/>
      <c r="O40" s="574"/>
      <c r="P40" s="572" t="str">
        <f>IF('2 Inv Calcs'!AT13="Yes",CONCATENATE(ROUND('2 Inv Calcs'!AS13,2),"A (PER STRING)"),CONCATENATE('2 Inv Calcs'!AS13,"A"))</f>
        <v>12.5A</v>
      </c>
      <c r="Q40" s="573"/>
      <c r="R40" s="574"/>
      <c r="S40" s="572" t="str">
        <f>IF('2 Inv Calcs'!AT13="Yes","N/A",CONCATENATE(ROUND('2 Inv Calcs'!AW13,2),"A"))</f>
        <v>15.63A</v>
      </c>
      <c r="T40" s="573"/>
      <c r="U40" s="574"/>
      <c r="V40" s="28"/>
      <c r="W40" s="32"/>
    </row>
    <row r="41" spans="1:25" x14ac:dyDescent="0.2">
      <c r="A41" s="32"/>
      <c r="B41" s="42"/>
      <c r="C41" s="272" t="str">
        <f>IF(OR(Y29="7",Y29=7),7,CONCATENATE("7-",Y29))</f>
        <v>7-8</v>
      </c>
      <c r="D41" s="572" t="str">
        <f>CONCATENATE('2 Inv Calcs'!BA14," AWG ",'2 Inv Calcs'!AO14,", COPPER")</f>
        <v>10 AWG THWN-2, COPPER</v>
      </c>
      <c r="E41" s="573"/>
      <c r="F41" s="574"/>
      <c r="G41" s="572" t="str">
        <f>IF('2 Inv Calcs'!AN14="Free Air","FREE AIR",CONCATENATE('2 Inv Calcs'!BE14,""" DIA. EMT"))</f>
        <v>0.75" DIA. EMT</v>
      </c>
      <c r="H41" s="574"/>
      <c r="I41" s="572">
        <v>2</v>
      </c>
      <c r="J41" s="573"/>
      <c r="K41" s="574"/>
      <c r="L41" s="193" t="str">
        <f>CONCATENATE('2 Inv Calcs'!BF14,"A")</f>
        <v>40A</v>
      </c>
      <c r="M41" s="572" t="str">
        <f>CONCATENATE('2 Inv Calcs'!BC14," AWG ",'2 Inv Calcs'!AP14,", COPPER")</f>
        <v>10 AWG THWN-2, COPPER</v>
      </c>
      <c r="N41" s="573"/>
      <c r="O41" s="574"/>
      <c r="P41" s="572" t="str">
        <f>IF('2 Inv Calcs'!AT14="Yes",CONCATENATE(ROUND('2 Inv Calcs'!AS14,2),"A (PER STRING)"),CONCATENATE('2 Inv Calcs'!AS14,"A"))</f>
        <v>25A</v>
      </c>
      <c r="Q41" s="573"/>
      <c r="R41" s="574"/>
      <c r="S41" s="572" t="str">
        <f>IF('2 Inv Calcs'!AT14="Yes","N/A",CONCATENATE(ROUND('2 Inv Calcs'!AW14,2),"A"))</f>
        <v>31.25A</v>
      </c>
      <c r="T41" s="573"/>
      <c r="U41" s="574"/>
      <c r="V41" s="28"/>
      <c r="W41" s="32"/>
    </row>
    <row r="42" spans="1:25" x14ac:dyDescent="0.2">
      <c r="A42" s="32"/>
      <c r="B42" s="42"/>
      <c r="C42" s="47"/>
      <c r="D42" s="47"/>
      <c r="E42" s="47"/>
      <c r="F42" s="47"/>
      <c r="G42" s="47"/>
      <c r="H42" s="47"/>
      <c r="I42" s="47"/>
      <c r="J42" s="47"/>
      <c r="K42" s="47"/>
      <c r="L42" s="47"/>
      <c r="M42" s="47"/>
      <c r="N42" s="47"/>
      <c r="O42" s="47"/>
      <c r="P42" s="47"/>
      <c r="Q42" s="47"/>
      <c r="R42" s="47"/>
      <c r="S42" s="47"/>
      <c r="T42" s="47"/>
      <c r="U42" s="47"/>
      <c r="V42" s="28"/>
      <c r="W42" s="32"/>
    </row>
    <row r="43" spans="1:25" x14ac:dyDescent="0.2">
      <c r="A43" s="32"/>
      <c r="B43" s="42"/>
      <c r="C43" s="37" t="s">
        <v>11</v>
      </c>
      <c r="D43" s="405" t="s">
        <v>210</v>
      </c>
      <c r="E43" s="406"/>
      <c r="F43" s="407"/>
      <c r="G43" s="405" t="s">
        <v>116</v>
      </c>
      <c r="H43" s="407"/>
      <c r="I43" s="405" t="s">
        <v>117</v>
      </c>
      <c r="J43" s="407"/>
      <c r="K43" s="405" t="s">
        <v>118</v>
      </c>
      <c r="L43" s="407"/>
      <c r="M43" s="405" t="str">
        <f>IF('2 Inv Input'!D8=2017,"TEMP. FACTOR**","TEMP. FACTOR")</f>
        <v>TEMP. FACTOR**</v>
      </c>
      <c r="N43" s="406"/>
      <c r="O43" s="407"/>
      <c r="P43" s="405" t="s">
        <v>119</v>
      </c>
      <c r="Q43" s="407"/>
      <c r="R43" s="42"/>
      <c r="S43" s="25"/>
      <c r="T43" s="25"/>
      <c r="U43" s="25"/>
      <c r="V43" s="28"/>
      <c r="W43" s="32"/>
    </row>
    <row r="44" spans="1:25" x14ac:dyDescent="0.2">
      <c r="A44" s="32"/>
      <c r="B44" s="42"/>
      <c r="C44" s="249">
        <v>3</v>
      </c>
      <c r="D44" s="405" t="str">
        <f>D37</f>
        <v>10 AWG THWN-2, COPPER</v>
      </c>
      <c r="E44" s="406"/>
      <c r="F44" s="407"/>
      <c r="G44" s="577" t="str">
        <f>CONCATENATE('2 Inv Calcs'!BG10,"A")</f>
        <v>35A</v>
      </c>
      <c r="H44" s="578"/>
      <c r="I44" s="575">
        <f>'2 Inv Calcs'!AR10</f>
        <v>1</v>
      </c>
      <c r="J44" s="576"/>
      <c r="K44" s="575" t="str">
        <f>CONCATENATE(ROUND(('2 Inv Calcs'!AR10*'2 Inv Calcs'!BG10),2),"A")</f>
        <v>35A</v>
      </c>
      <c r="L44" s="576"/>
      <c r="M44" s="575">
        <f>'2 Inv Calcs'!AQ10</f>
        <v>1.04</v>
      </c>
      <c r="N44" s="579"/>
      <c r="O44" s="576"/>
      <c r="P44" s="575" t="str">
        <f>CONCATENATE(ROUND('2 Inv Calcs'!BH10,2),"A")</f>
        <v>36.4A</v>
      </c>
      <c r="Q44" s="576"/>
      <c r="R44" s="42"/>
      <c r="S44" s="25"/>
      <c r="T44" s="25"/>
      <c r="U44" s="25"/>
      <c r="V44" s="28"/>
      <c r="W44" s="32"/>
    </row>
    <row r="45" spans="1:25" x14ac:dyDescent="0.2">
      <c r="A45" s="32"/>
      <c r="B45" s="42"/>
      <c r="C45" s="249">
        <v>4</v>
      </c>
      <c r="D45" s="405" t="str">
        <f>D38</f>
        <v>10 AWG THWN-2, COPPER</v>
      </c>
      <c r="E45" s="406"/>
      <c r="F45" s="407"/>
      <c r="G45" s="577" t="str">
        <f>CONCATENATE('2 Inv Calcs'!BG11,"A")</f>
        <v>35A</v>
      </c>
      <c r="H45" s="578"/>
      <c r="I45" s="575">
        <f>'2 Inv Calcs'!AR11</f>
        <v>1</v>
      </c>
      <c r="J45" s="576"/>
      <c r="K45" s="575" t="str">
        <f>CONCATENATE(ROUND(('2 Inv Calcs'!AR11*'2 Inv Calcs'!BG11),2),"A")</f>
        <v>35A</v>
      </c>
      <c r="L45" s="576"/>
      <c r="M45" s="575">
        <f>'2 Inv Calcs'!AQ11</f>
        <v>1.04</v>
      </c>
      <c r="N45" s="579"/>
      <c r="O45" s="576"/>
      <c r="P45" s="575" t="str">
        <f>CONCATENATE(ROUND('2 Inv Calcs'!BH11,2),"A")</f>
        <v>36.4A</v>
      </c>
      <c r="Q45" s="576"/>
      <c r="R45" s="42"/>
      <c r="S45" s="25"/>
      <c r="T45" s="25"/>
      <c r="U45" s="25"/>
      <c r="V45" s="28"/>
      <c r="W45" s="32"/>
    </row>
    <row r="46" spans="1:25" x14ac:dyDescent="0.2">
      <c r="A46" s="32"/>
      <c r="B46" s="42"/>
      <c r="C46" s="249">
        <v>5</v>
      </c>
      <c r="D46" s="405" t="str">
        <f>D39</f>
        <v>10 AWG THWN-2, COPPER</v>
      </c>
      <c r="E46" s="406"/>
      <c r="F46" s="407"/>
      <c r="G46" s="577" t="str">
        <f>CONCATENATE('2 Inv Calcs'!BG12,"A")</f>
        <v>35A</v>
      </c>
      <c r="H46" s="578"/>
      <c r="I46" s="575">
        <f>'2 Inv Calcs'!AR12</f>
        <v>1</v>
      </c>
      <c r="J46" s="576"/>
      <c r="K46" s="575" t="str">
        <f>CONCATENATE(ROUND(('2 Inv Calcs'!AR12*'2 Inv Calcs'!BG12),2),"A")</f>
        <v>35A</v>
      </c>
      <c r="L46" s="576"/>
      <c r="M46" s="575">
        <f>'2 Inv Calcs'!AQ12</f>
        <v>1.04</v>
      </c>
      <c r="N46" s="579"/>
      <c r="O46" s="576"/>
      <c r="P46" s="575" t="str">
        <f>CONCATENATE(ROUND('2 Inv Calcs'!BH12,2),"A")</f>
        <v>36.4A</v>
      </c>
      <c r="Q46" s="576"/>
      <c r="R46" s="25"/>
      <c r="S46" s="25"/>
      <c r="T46" s="25"/>
      <c r="U46" s="25"/>
      <c r="V46" s="28"/>
      <c r="W46" s="32"/>
    </row>
    <row r="47" spans="1:25" x14ac:dyDescent="0.2">
      <c r="A47" s="32"/>
      <c r="B47" s="42"/>
      <c r="C47" s="249">
        <v>6</v>
      </c>
      <c r="D47" s="405" t="str">
        <f>D40</f>
        <v>10 AWG THWN-2, COPPER</v>
      </c>
      <c r="E47" s="406"/>
      <c r="F47" s="407"/>
      <c r="G47" s="577" t="str">
        <f>CONCATENATE('2 Inv Calcs'!BG13,"A")</f>
        <v>35A</v>
      </c>
      <c r="H47" s="578"/>
      <c r="I47" s="575">
        <f>'2 Inv Calcs'!AR13</f>
        <v>1</v>
      </c>
      <c r="J47" s="576"/>
      <c r="K47" s="575" t="str">
        <f>CONCATENATE(ROUND(('2 Inv Calcs'!AR13*'2 Inv Calcs'!BG13),2),"A")</f>
        <v>35A</v>
      </c>
      <c r="L47" s="576"/>
      <c r="M47" s="575">
        <f>'2 Inv Calcs'!AQ13</f>
        <v>1.04</v>
      </c>
      <c r="N47" s="579"/>
      <c r="O47" s="576"/>
      <c r="P47" s="575" t="str">
        <f>CONCATENATE(ROUND('2 Inv Calcs'!BH13,2),"A")</f>
        <v>36.4A</v>
      </c>
      <c r="Q47" s="576"/>
      <c r="R47" s="25"/>
      <c r="S47" s="25"/>
      <c r="T47" s="25"/>
      <c r="U47" s="25"/>
      <c r="V47" s="28"/>
      <c r="W47" s="32"/>
    </row>
    <row r="48" spans="1:25" x14ac:dyDescent="0.2">
      <c r="A48" s="32"/>
      <c r="B48" s="42"/>
      <c r="C48" s="250" t="str">
        <f>C41</f>
        <v>7-8</v>
      </c>
      <c r="D48" s="405" t="str">
        <f>D41</f>
        <v>10 AWG THWN-2, COPPER</v>
      </c>
      <c r="E48" s="406"/>
      <c r="F48" s="407"/>
      <c r="G48" s="577" t="str">
        <f>CONCATENATE('2 Inv Calcs'!BG14,"A")</f>
        <v>35A</v>
      </c>
      <c r="H48" s="578"/>
      <c r="I48" s="575">
        <f>'2 Inv Calcs'!AR14</f>
        <v>1</v>
      </c>
      <c r="J48" s="576"/>
      <c r="K48" s="575" t="str">
        <f>CONCATENATE(ROUND(('2 Inv Calcs'!AR14*'2 Inv Calcs'!BG14),2),"A")</f>
        <v>35A</v>
      </c>
      <c r="L48" s="576"/>
      <c r="M48" s="575">
        <f>'2 Inv Calcs'!AQ14</f>
        <v>1.04</v>
      </c>
      <c r="N48" s="579"/>
      <c r="O48" s="576"/>
      <c r="P48" s="575" t="str">
        <f>CONCATENATE(ROUND('2 Inv Calcs'!BH14,2),"A")</f>
        <v>36.4A</v>
      </c>
      <c r="Q48" s="576"/>
      <c r="R48" s="25"/>
      <c r="S48" s="25"/>
      <c r="T48" s="25"/>
      <c r="U48" s="25"/>
      <c r="V48" s="28"/>
      <c r="W48" s="32"/>
    </row>
    <row r="49" spans="1:23" x14ac:dyDescent="0.2">
      <c r="A49" s="32"/>
      <c r="B49" s="42"/>
      <c r="C49" s="25"/>
      <c r="D49" s="25"/>
      <c r="E49" s="25"/>
      <c r="F49" s="25"/>
      <c r="G49" s="25"/>
      <c r="H49" s="25"/>
      <c r="I49" s="25"/>
      <c r="J49" s="25"/>
      <c r="K49" s="25"/>
      <c r="L49" s="25"/>
      <c r="M49" s="25"/>
      <c r="N49" s="25"/>
      <c r="O49" s="25"/>
      <c r="P49" s="25"/>
      <c r="Q49" s="25"/>
      <c r="R49" s="25"/>
      <c r="S49" s="25"/>
      <c r="T49" s="25"/>
      <c r="U49" s="25"/>
      <c r="V49" s="28"/>
      <c r="W49" s="32"/>
    </row>
    <row r="50" spans="1:23" x14ac:dyDescent="0.2">
      <c r="A50" s="32"/>
      <c r="B50" s="42"/>
      <c r="C50" s="447" t="s">
        <v>214</v>
      </c>
      <c r="D50" s="447"/>
      <c r="E50" s="447"/>
      <c r="F50" s="447"/>
      <c r="G50" s="447"/>
      <c r="H50" s="447"/>
      <c r="I50" s="447"/>
      <c r="J50" s="447"/>
      <c r="K50" s="447"/>
      <c r="L50" s="447"/>
      <c r="M50" s="447"/>
      <c r="N50" s="447"/>
      <c r="O50" s="447"/>
      <c r="P50" s="447"/>
      <c r="Q50" s="447"/>
      <c r="R50" s="447"/>
      <c r="S50" s="447"/>
      <c r="T50" s="447"/>
      <c r="U50" s="447"/>
      <c r="V50" s="28"/>
      <c r="W50" s="32"/>
    </row>
    <row r="51" spans="1:23" x14ac:dyDescent="0.2">
      <c r="A51" s="32"/>
      <c r="B51" s="42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  <c r="S51" s="25"/>
      <c r="T51" s="25"/>
      <c r="U51" s="25"/>
      <c r="V51" s="28"/>
      <c r="W51" s="32"/>
    </row>
    <row r="52" spans="1:23" x14ac:dyDescent="0.2">
      <c r="A52" s="32"/>
      <c r="B52" s="42"/>
      <c r="C52" s="447" t="s">
        <v>778</v>
      </c>
      <c r="D52" s="447"/>
      <c r="E52" s="447"/>
      <c r="F52" s="447"/>
      <c r="G52" s="447"/>
      <c r="H52" s="447"/>
      <c r="I52" s="447"/>
      <c r="J52" s="447"/>
      <c r="K52" s="447"/>
      <c r="L52" s="447"/>
      <c r="M52" s="447"/>
      <c r="N52" s="447"/>
      <c r="O52" s="447"/>
      <c r="P52" s="447"/>
      <c r="Q52" s="447"/>
      <c r="R52" s="447"/>
      <c r="S52" s="447"/>
      <c r="T52" s="447"/>
      <c r="U52" s="447"/>
      <c r="V52" s="28"/>
      <c r="W52" s="32"/>
    </row>
    <row r="53" spans="1:23" x14ac:dyDescent="0.2">
      <c r="A53" s="32"/>
      <c r="B53" s="44"/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48"/>
      <c r="W53" s="32"/>
    </row>
    <row r="54" spans="1:23" x14ac:dyDescent="0.2">
      <c r="A54" s="32"/>
      <c r="B54" s="398" t="s">
        <v>270</v>
      </c>
      <c r="C54" s="400"/>
      <c r="D54" s="400"/>
      <c r="E54" s="400"/>
      <c r="F54" s="400"/>
      <c r="G54" s="400"/>
      <c r="H54" s="400"/>
      <c r="I54" s="400"/>
      <c r="J54" s="400"/>
      <c r="K54" s="400"/>
      <c r="L54" s="400"/>
      <c r="M54" s="400"/>
      <c r="N54" s="400"/>
      <c r="O54" s="400"/>
      <c r="P54" s="400"/>
      <c r="Q54" s="400"/>
      <c r="R54" s="400"/>
      <c r="S54" s="400"/>
      <c r="T54" s="400"/>
      <c r="U54" s="400"/>
      <c r="V54" s="399"/>
      <c r="W54" s="32"/>
    </row>
    <row r="55" spans="1:23" x14ac:dyDescent="0.2">
      <c r="A55" s="32"/>
      <c r="B55" s="267"/>
      <c r="C55" s="268"/>
      <c r="D55" s="268"/>
      <c r="E55" s="268"/>
      <c r="F55" s="268"/>
      <c r="G55" s="268"/>
      <c r="H55" s="268"/>
      <c r="I55" s="268"/>
      <c r="J55" s="268"/>
      <c r="K55" s="268"/>
      <c r="L55" s="268"/>
      <c r="M55" s="268"/>
      <c r="N55" s="268"/>
      <c r="O55" s="268"/>
      <c r="P55" s="268"/>
      <c r="Q55" s="268"/>
      <c r="R55" s="268"/>
      <c r="S55" s="268"/>
      <c r="T55" s="268"/>
      <c r="U55" s="268"/>
      <c r="V55" s="269"/>
      <c r="W55" s="32"/>
    </row>
    <row r="56" spans="1:23" x14ac:dyDescent="0.2">
      <c r="A56" s="32"/>
      <c r="B56" s="270"/>
      <c r="C56" s="266"/>
      <c r="D56" s="266"/>
      <c r="E56" s="266"/>
      <c r="F56" s="266"/>
      <c r="G56" s="266"/>
      <c r="H56" s="266"/>
      <c r="I56" s="266"/>
      <c r="J56" s="266"/>
      <c r="K56" s="266"/>
      <c r="L56" s="266"/>
      <c r="M56" s="266"/>
      <c r="N56" s="266"/>
      <c r="O56" s="266"/>
      <c r="P56" s="266"/>
      <c r="Q56" s="266"/>
      <c r="R56" s="266"/>
      <c r="S56" s="266"/>
      <c r="T56" s="266"/>
      <c r="U56" s="266"/>
      <c r="V56" s="271"/>
      <c r="W56" s="32"/>
    </row>
    <row r="57" spans="1:23" x14ac:dyDescent="0.2">
      <c r="A57" s="32"/>
      <c r="B57" s="270"/>
      <c r="C57" s="266"/>
      <c r="D57" s="266"/>
      <c r="E57" s="266"/>
      <c r="F57" s="266"/>
      <c r="G57" s="266"/>
      <c r="H57" s="266"/>
      <c r="I57" s="266"/>
      <c r="J57" s="266"/>
      <c r="K57" s="266"/>
      <c r="L57" s="266"/>
      <c r="M57" s="266"/>
      <c r="N57" s="266"/>
      <c r="O57" s="266"/>
      <c r="P57" s="266"/>
      <c r="Q57" s="266"/>
      <c r="R57" s="266"/>
      <c r="S57" s="266"/>
      <c r="T57" s="266"/>
      <c r="U57" s="266"/>
      <c r="V57" s="271"/>
      <c r="W57" s="32"/>
    </row>
    <row r="58" spans="1:23" x14ac:dyDescent="0.2">
      <c r="A58" s="32"/>
      <c r="B58" s="270"/>
      <c r="C58" s="266"/>
      <c r="D58" s="266"/>
      <c r="E58" s="266"/>
      <c r="F58" s="266"/>
      <c r="G58" s="266"/>
      <c r="H58" s="266"/>
      <c r="I58" s="266"/>
      <c r="J58" s="266"/>
      <c r="K58" s="266"/>
      <c r="L58" s="266"/>
      <c r="M58" s="266"/>
      <c r="N58" s="266"/>
      <c r="O58" s="266"/>
      <c r="P58" s="266"/>
      <c r="Q58" s="266"/>
      <c r="R58" s="266"/>
      <c r="S58" s="266"/>
      <c r="T58" s="266"/>
      <c r="U58" s="266"/>
      <c r="V58" s="271"/>
      <c r="W58" s="32"/>
    </row>
    <row r="59" spans="1:23" x14ac:dyDescent="0.2">
      <c r="A59" s="32"/>
      <c r="B59" s="270"/>
      <c r="C59" s="266"/>
      <c r="D59" s="266"/>
      <c r="E59" s="266"/>
      <c r="F59" s="266"/>
      <c r="G59" s="266"/>
      <c r="H59" s="266"/>
      <c r="I59" s="266"/>
      <c r="J59" s="266"/>
      <c r="K59" s="266"/>
      <c r="L59" s="266"/>
      <c r="M59" s="266"/>
      <c r="N59" s="266"/>
      <c r="O59" s="266"/>
      <c r="P59" s="266"/>
      <c r="Q59" s="266"/>
      <c r="R59" s="266"/>
      <c r="S59" s="266"/>
      <c r="T59" s="266"/>
      <c r="U59" s="266"/>
      <c r="V59" s="271"/>
      <c r="W59" s="32"/>
    </row>
    <row r="60" spans="1:23" x14ac:dyDescent="0.2">
      <c r="A60" s="32"/>
      <c r="B60" s="270"/>
      <c r="C60" s="266"/>
      <c r="D60" s="266"/>
      <c r="E60" s="266"/>
      <c r="F60" s="266"/>
      <c r="G60" s="266"/>
      <c r="H60" s="266"/>
      <c r="I60" s="266"/>
      <c r="J60" s="266"/>
      <c r="K60" s="266"/>
      <c r="L60" s="266"/>
      <c r="M60" s="266"/>
      <c r="N60" s="266"/>
      <c r="O60" s="266"/>
      <c r="P60" s="266"/>
      <c r="Q60" s="266"/>
      <c r="R60" s="266"/>
      <c r="S60" s="266"/>
      <c r="T60" s="266"/>
      <c r="U60" s="266"/>
      <c r="V60" s="271"/>
      <c r="W60" s="32"/>
    </row>
    <row r="61" spans="1:23" x14ac:dyDescent="0.2">
      <c r="A61" s="32"/>
      <c r="B61" s="270"/>
      <c r="C61" s="52" t="s">
        <v>236</v>
      </c>
      <c r="D61" s="47"/>
      <c r="E61" s="47"/>
      <c r="F61" s="47"/>
      <c r="G61" s="51"/>
      <c r="H61" s="52" t="s">
        <v>246</v>
      </c>
      <c r="I61" s="47"/>
      <c r="J61" s="47"/>
      <c r="K61" s="47"/>
      <c r="L61" s="51"/>
      <c r="M61" s="52" t="s">
        <v>254</v>
      </c>
      <c r="N61" s="47"/>
      <c r="O61" s="47"/>
      <c r="P61" s="47"/>
      <c r="Q61" s="51"/>
      <c r="R61" s="52" t="s">
        <v>256</v>
      </c>
      <c r="S61" s="47"/>
      <c r="T61" s="47"/>
      <c r="U61" s="51"/>
      <c r="V61" s="271"/>
      <c r="W61" s="32"/>
    </row>
    <row r="62" spans="1:23" x14ac:dyDescent="0.2">
      <c r="A62" s="32"/>
      <c r="B62" s="270"/>
      <c r="C62" s="42"/>
      <c r="D62" s="25"/>
      <c r="E62" s="25"/>
      <c r="F62" s="25"/>
      <c r="G62" s="28"/>
      <c r="H62" s="42"/>
      <c r="I62" s="25"/>
      <c r="J62" s="25"/>
      <c r="K62" s="25"/>
      <c r="L62" s="28"/>
      <c r="M62" s="42"/>
      <c r="N62" s="25"/>
      <c r="O62" s="25"/>
      <c r="P62" s="25"/>
      <c r="Q62" s="28"/>
      <c r="R62" s="42"/>
      <c r="S62" s="25"/>
      <c r="T62" s="25"/>
      <c r="U62" s="28"/>
      <c r="V62" s="271"/>
      <c r="W62" s="32"/>
    </row>
    <row r="63" spans="1:23" x14ac:dyDescent="0.2">
      <c r="A63" s="32"/>
      <c r="B63" s="270"/>
      <c r="C63" s="42" t="s">
        <v>238</v>
      </c>
      <c r="D63" s="25" t="s">
        <v>259</v>
      </c>
      <c r="E63" s="25"/>
      <c r="F63" s="25"/>
      <c r="G63" s="28"/>
      <c r="H63" s="42" t="s">
        <v>247</v>
      </c>
      <c r="I63" s="25"/>
      <c r="J63" s="263" t="str">
        <f>'2 Inv Output'!E16</f>
        <v>SILFAB SLA-M 300W</v>
      </c>
      <c r="K63" s="25"/>
      <c r="L63" s="28"/>
      <c r="M63" s="42" t="str">
        <f>IF('2 Inv Calcs'!$AF$3="Texas Energy Experts",("0.4% DRY BULB TEMP:"),("2% DRY BULB TEMP:"))</f>
        <v>2% DRY BULB TEMP:</v>
      </c>
      <c r="N63" s="25"/>
      <c r="O63" s="25"/>
      <c r="P63" s="25"/>
      <c r="Q63" s="54" t="str">
        <f>CONCATENATE(ROUND('2 Inv Calcs'!$AF$24,1),"°F")</f>
        <v>77°F</v>
      </c>
      <c r="R63" s="42" t="s">
        <v>238</v>
      </c>
      <c r="S63" s="25" t="s">
        <v>259</v>
      </c>
      <c r="T63" s="25"/>
      <c r="U63" s="28"/>
      <c r="V63" s="271"/>
      <c r="W63" s="32"/>
    </row>
    <row r="64" spans="1:23" x14ac:dyDescent="0.2">
      <c r="A64" s="32"/>
      <c r="B64" s="270"/>
      <c r="C64" s="42" t="s">
        <v>239</v>
      </c>
      <c r="D64" s="25" t="str">
        <f>CONCATENATE('2 Inv Calcs'!BR6," &amp; ",'2 Inv Calcs'!BV6)</f>
        <v>SE3000H-US &amp; SE3000H-US</v>
      </c>
      <c r="E64" s="25"/>
      <c r="F64" s="25"/>
      <c r="G64" s="28"/>
      <c r="H64" s="42" t="s">
        <v>248</v>
      </c>
      <c r="I64" s="25"/>
      <c r="J64" s="263">
        <f>'2 Inv Output'!C16</f>
        <v>2</v>
      </c>
      <c r="K64" s="25"/>
      <c r="L64" s="28"/>
      <c r="M64" s="42"/>
      <c r="N64" s="25"/>
      <c r="O64" s="25"/>
      <c r="P64" s="25"/>
      <c r="Q64" s="55"/>
      <c r="R64" s="42" t="s">
        <v>239</v>
      </c>
      <c r="S64" s="25" t="str">
        <f>'2 Inv Calcs'!BN6</f>
        <v>P320</v>
      </c>
      <c r="T64" s="25"/>
      <c r="U64" s="28"/>
      <c r="V64" s="271"/>
      <c r="W64" s="32"/>
    </row>
    <row r="65" spans="1:23" x14ac:dyDescent="0.2">
      <c r="A65" s="32"/>
      <c r="B65" s="270"/>
      <c r="C65" s="42"/>
      <c r="D65" s="25"/>
      <c r="E65" s="25"/>
      <c r="F65" s="25"/>
      <c r="G65" s="28"/>
      <c r="H65" s="42" t="s">
        <v>249</v>
      </c>
      <c r="I65" s="25"/>
      <c r="J65" s="263" t="str">
        <f>'2 Inv Output'!H16</f>
        <v>300W</v>
      </c>
      <c r="K65" s="25"/>
      <c r="L65" s="28"/>
      <c r="M65" s="42" t="str">
        <f>IF('2 Inv Input'!D8=2017,"DISTANCE ABOVE ROOF (&gt; 7/8''): ","WITH TEMPERATURE ADDER:")</f>
        <v xml:space="preserve">DISTANCE ABOVE ROOF (&gt; 7/8''): </v>
      </c>
      <c r="N65" s="25"/>
      <c r="O65" s="25"/>
      <c r="P65" s="25"/>
      <c r="Q65" s="55" t="str">
        <f>IF('2 Inv Input'!D8=2017,CONCATENATE(ROUND('2 Inv Calcs'!AF24,1),"°F"),CONCATENATE(ROUND('2 Inv Calcs'!AF26,1),"°F"))</f>
        <v>77°F</v>
      </c>
      <c r="R65" s="42"/>
      <c r="S65" s="25"/>
      <c r="T65" s="25"/>
      <c r="U65" s="28"/>
      <c r="V65" s="271"/>
      <c r="W65" s="32"/>
    </row>
    <row r="66" spans="1:23" x14ac:dyDescent="0.2">
      <c r="A66" s="32"/>
      <c r="B66" s="270"/>
      <c r="C66" s="56" t="s">
        <v>128</v>
      </c>
      <c r="D66" s="25"/>
      <c r="E66" s="25"/>
      <c r="F66" s="25"/>
      <c r="G66" s="28"/>
      <c r="H66" s="42"/>
      <c r="I66" s="25"/>
      <c r="J66" s="25"/>
      <c r="K66" s="25"/>
      <c r="L66" s="28"/>
      <c r="M66" s="42"/>
      <c r="N66" s="25"/>
      <c r="O66" s="25"/>
      <c r="P66" s="25"/>
      <c r="Q66" s="55"/>
      <c r="R66" s="397"/>
      <c r="S66" s="397"/>
      <c r="T66" s="97" t="s">
        <v>128</v>
      </c>
      <c r="U66" s="97" t="s">
        <v>237</v>
      </c>
      <c r="V66" s="271"/>
      <c r="W66" s="32"/>
    </row>
    <row r="67" spans="1:23" x14ac:dyDescent="0.2">
      <c r="A67" s="32"/>
      <c r="B67" s="270"/>
      <c r="C67" s="42" t="s">
        <v>240</v>
      </c>
      <c r="D67" s="25"/>
      <c r="E67" s="25"/>
      <c r="F67" s="28" t="str">
        <f>CONCATENATE('2 Inv Calcs'!BR9,"V"," &amp; ",'2 Inv Calcs'!BV9,"V")</f>
        <v>480V &amp; 480V</v>
      </c>
      <c r="G67" s="25"/>
      <c r="H67" s="42" t="s">
        <v>250</v>
      </c>
      <c r="I67" s="263" t="str">
        <f>'2 Inv Output'!N16</f>
        <v>39.85V</v>
      </c>
      <c r="J67" s="25" t="s">
        <v>252</v>
      </c>
      <c r="K67" s="263" t="str">
        <f>'2 Inv Output'!P16</f>
        <v>32.80V</v>
      </c>
      <c r="L67" s="28"/>
      <c r="M67" s="42" t="s">
        <v>255</v>
      </c>
      <c r="N67" s="25"/>
      <c r="O67" s="25"/>
      <c r="P67" s="25"/>
      <c r="Q67" s="55" t="str">
        <f>CONCATENATE(ROUND('2 Inv Calcs'!$AF$25,1),"°F")</f>
        <v>-13°F</v>
      </c>
      <c r="R67" s="397" t="s">
        <v>257</v>
      </c>
      <c r="S67" s="397"/>
      <c r="T67" s="97" t="str">
        <f>CONCATENATE('2 Inv Calcs'!BN9,"V")</f>
        <v>48V</v>
      </c>
      <c r="U67" s="97" t="str">
        <f>CONCATENATE('2 Inv Calcs'!BN19,"V")</f>
        <v>60V</v>
      </c>
      <c r="V67" s="271"/>
      <c r="W67" s="32"/>
    </row>
    <row r="68" spans="1:23" x14ac:dyDescent="0.2">
      <c r="A68" s="32"/>
      <c r="B68" s="270"/>
      <c r="C68" s="42" t="s">
        <v>241</v>
      </c>
      <c r="D68" s="25"/>
      <c r="E68" s="25"/>
      <c r="F68" s="25" t="str">
        <f>CONCATENATE('2 Inv Calcs'!BR11,"A"," &amp; ",'2 Inv Calcs'!BV11,"A")</f>
        <v>8.5A &amp; 8.5A</v>
      </c>
      <c r="G68" s="28"/>
      <c r="H68" s="44" t="s">
        <v>251</v>
      </c>
      <c r="I68" s="53" t="str">
        <f>'2 Inv Output'!J16</f>
        <v>9.71A</v>
      </c>
      <c r="J68" s="26" t="s">
        <v>253</v>
      </c>
      <c r="K68" s="53" t="str">
        <f>'2 Inv Output'!L16</f>
        <v>9.16A</v>
      </c>
      <c r="L68" s="48"/>
      <c r="M68" s="44"/>
      <c r="N68" s="26"/>
      <c r="O68" s="26"/>
      <c r="P68" s="26"/>
      <c r="Q68" s="48"/>
      <c r="R68" s="397" t="s">
        <v>258</v>
      </c>
      <c r="S68" s="397"/>
      <c r="T68" s="97" t="str">
        <f>CONCATENATE('2 Inv Calcs'!BN12,"A")</f>
        <v>11A</v>
      </c>
      <c r="U68" s="97" t="str">
        <f>CONCATENATE('2 Inv Calcs'!BN18,"A")</f>
        <v>15A</v>
      </c>
      <c r="V68" s="271"/>
      <c r="W68" s="32"/>
    </row>
    <row r="69" spans="1:23" x14ac:dyDescent="0.2">
      <c r="A69" s="32"/>
      <c r="B69" s="270"/>
      <c r="C69" s="42" t="s">
        <v>242</v>
      </c>
      <c r="D69" s="25"/>
      <c r="E69" s="25"/>
      <c r="F69" s="28" t="str">
        <f>CONCATENATE('2 Inv Calcs'!BR8,"W"," &amp; ",'2 Inv Calcs'!BV8,"W")</f>
        <v>4650W &amp; 4650W</v>
      </c>
      <c r="G69" s="25"/>
      <c r="H69" s="443" t="s">
        <v>260</v>
      </c>
      <c r="I69" s="444"/>
      <c r="J69" s="444"/>
      <c r="K69" s="444"/>
      <c r="L69" s="444"/>
      <c r="M69" s="444"/>
      <c r="N69" s="444"/>
      <c r="O69" s="444"/>
      <c r="P69" s="444"/>
      <c r="Q69" s="444"/>
      <c r="R69" s="444"/>
      <c r="S69" s="444"/>
      <c r="T69" s="444"/>
      <c r="U69" s="445"/>
      <c r="V69" s="271"/>
      <c r="W69" s="32"/>
    </row>
    <row r="70" spans="1:23" ht="15" hidden="1" customHeight="1" x14ac:dyDescent="0.2">
      <c r="A70" s="32"/>
      <c r="B70" s="270"/>
      <c r="C70" s="42"/>
      <c r="D70" s="25"/>
      <c r="E70" s="25"/>
      <c r="F70" s="25"/>
      <c r="G70" s="25"/>
      <c r="H70" s="96" t="s">
        <v>11</v>
      </c>
      <c r="I70" s="401" t="s">
        <v>109</v>
      </c>
      <c r="J70" s="402"/>
      <c r="K70" s="403"/>
      <c r="L70" s="402" t="s">
        <v>262</v>
      </c>
      <c r="M70" s="402"/>
      <c r="N70" s="402"/>
      <c r="O70" s="401" t="s">
        <v>113</v>
      </c>
      <c r="P70" s="402"/>
      <c r="Q70" s="402"/>
      <c r="R70" s="403"/>
      <c r="S70" s="402" t="s">
        <v>261</v>
      </c>
      <c r="T70" s="402"/>
      <c r="U70" s="403"/>
      <c r="V70" s="271"/>
      <c r="W70" s="32"/>
    </row>
    <row r="71" spans="1:23" x14ac:dyDescent="0.2">
      <c r="A71" s="32"/>
      <c r="B71" s="270"/>
      <c r="C71" s="56" t="s">
        <v>237</v>
      </c>
      <c r="D71" s="25"/>
      <c r="E71" s="25"/>
      <c r="F71" s="25"/>
      <c r="G71" s="25"/>
      <c r="H71" s="259">
        <v>1</v>
      </c>
      <c r="I71" s="410" t="str">
        <f>CONCATENATE("(",'2 Inv Calcs'!AJ10,") ","#",'2 Inv Calcs'!BA4," AWG ",'2 Inv Calcs'!AO4,", COPPER")</f>
        <v>(2) #10 AWG PV WIRE, COPPER</v>
      </c>
      <c r="J71" s="411"/>
      <c r="K71" s="412"/>
      <c r="L71" s="410" t="str">
        <f>IF('2 Inv Calcs'!AK4=0,"N/A",CONCATENATE("(",'2 Inv Calcs'!AK4,") ","#",'2 Inv Calcs'!BB4," AWG ",'2 Inv Calcs'!AO4,", COPPER"))</f>
        <v>N/A</v>
      </c>
      <c r="M71" s="411"/>
      <c r="N71" s="412"/>
      <c r="O71" s="410" t="str">
        <f>CONCATENATE("(",'2 Inv Calcs'!AL4,") ","#",'2 Inv Calcs'!BC4," AWG, ",'2 Inv Calcs'!AP4,", COPPER EGC")</f>
        <v>(1) #6 AWG, BARE, COPPER EGC</v>
      </c>
      <c r="P71" s="411"/>
      <c r="Q71" s="411"/>
      <c r="R71" s="412"/>
      <c r="S71" s="410" t="str">
        <f>IF('2 Inv Calcs'!AN4="Free Air","N/A - FREE AIR",CONCATENATE('2 Inv Calcs'!BE4,""" DIA. EMT"))</f>
        <v>N/A - FREE AIR</v>
      </c>
      <c r="T71" s="411"/>
      <c r="U71" s="412"/>
      <c r="V71" s="271"/>
      <c r="W71" s="32"/>
    </row>
    <row r="72" spans="1:23" x14ac:dyDescent="0.2">
      <c r="A72" s="32"/>
      <c r="B72" s="270"/>
      <c r="C72" s="42" t="s">
        <v>243</v>
      </c>
      <c r="D72" s="25"/>
      <c r="E72" s="25"/>
      <c r="F72" s="25" t="str">
        <f>CONCATENATE('2 Inv Calcs'!BR16,"W"," &amp; ",'2 Inv Calcs'!BV16,"W")</f>
        <v>3000W &amp; 3000W</v>
      </c>
      <c r="G72" s="25"/>
      <c r="H72" s="262">
        <v>2</v>
      </c>
      <c r="I72" s="440" t="str">
        <f>CONCATENATE("(",'2 Inv Calcs'!AJ11,") ","#",'2 Inv Calcs'!BA5," AWG ",'2 Inv Calcs'!AO5,", COPPER")</f>
        <v>(2) #10 AWG PV WIRE, COPPER</v>
      </c>
      <c r="J72" s="441"/>
      <c r="K72" s="442"/>
      <c r="L72" s="440" t="str">
        <f>IF('2 Inv Calcs'!AK5=0,"N/A",CONCATENATE("(",'2 Inv Calcs'!AK5,") ","#",'2 Inv Calcs'!BB5," AWG ",'2 Inv Calcs'!AO5,", COPPER"))</f>
        <v>N/A</v>
      </c>
      <c r="M72" s="441"/>
      <c r="N72" s="442"/>
      <c r="O72" s="440" t="str">
        <f>CONCATENATE("(",'2 Inv Calcs'!AL7,") ","#",'2 Inv Calcs'!BC7," AWG, ",'2 Inv Calcs'!AP5,", COPPER EGC")</f>
        <v>(1) #6 AWG, BARE, COPPER EGC</v>
      </c>
      <c r="P72" s="441"/>
      <c r="Q72" s="441"/>
      <c r="R72" s="442"/>
      <c r="S72" s="440" t="str">
        <f>IF('2 Inv Calcs'!AN5="Free Air","N/A - FREE AIR",CONCATENATE('2 Inv Calcs'!BE5,""" DIA. EMT"))</f>
        <v>N/A - FREE AIR</v>
      </c>
      <c r="T72" s="441"/>
      <c r="U72" s="442"/>
      <c r="V72" s="271"/>
      <c r="W72" s="32"/>
    </row>
    <row r="73" spans="1:23" x14ac:dyDescent="0.2">
      <c r="A73" s="32"/>
      <c r="B73" s="270"/>
      <c r="C73" s="42" t="s">
        <v>244</v>
      </c>
      <c r="D73" s="25"/>
      <c r="E73" s="25"/>
      <c r="F73" s="25" t="str">
        <f>CONCATENATE('2 Inv Calcs'!BR18,"V")</f>
        <v>240V</v>
      </c>
      <c r="G73" s="25"/>
      <c r="H73" s="262">
        <v>3</v>
      </c>
      <c r="I73" s="440" t="str">
        <f>CONCATENATE("(",'2 Inv Calcs'!AJ10,") ","#",'2 Inv Calcs'!BA10," AWG ",'2 Inv Calcs'!AO10,", COPPER")</f>
        <v>(2) #10 AWG THWN-2, COPPER</v>
      </c>
      <c r="J73" s="441"/>
      <c r="K73" s="442"/>
      <c r="L73" s="440" t="str">
        <f>IF('2 Inv Calcs'!AK10=0,"N/A",CONCATENATE("(",'2 Inv Calcs'!AK10,") ","#",'2 Inv Calcs'!BB10," AWG ",'2 Inv Calcs'!AO10,", COPPER"))</f>
        <v>N/A</v>
      </c>
      <c r="M73" s="441"/>
      <c r="N73" s="442"/>
      <c r="O73" s="440" t="str">
        <f>CONCATENATE("(",'2 Inv Calcs'!AL10,") ","#",'2 Inv Calcs'!BC10," AWG, ",'2 Inv Calcs'!AP10,", COPPER EGC")</f>
        <v>(1) #10 AWG, THWN-2, COPPER EGC</v>
      </c>
      <c r="P73" s="441"/>
      <c r="Q73" s="441"/>
      <c r="R73" s="442"/>
      <c r="S73" s="440" t="str">
        <f>IF('2 Inv Calcs'!AN10="Free Air","N/A - FREE AIR",CONCATENATE('2 Inv Calcs'!BE10,""" DIA. EMT"))</f>
        <v>0.75" DIA. EMT</v>
      </c>
      <c r="T73" s="441"/>
      <c r="U73" s="442"/>
      <c r="V73" s="271"/>
      <c r="W73" s="32"/>
    </row>
    <row r="74" spans="1:23" x14ac:dyDescent="0.2">
      <c r="A74" s="32"/>
      <c r="B74" s="270"/>
      <c r="C74" s="42" t="s">
        <v>245</v>
      </c>
      <c r="D74" s="25"/>
      <c r="E74" s="25"/>
      <c r="F74" s="25" t="str">
        <f>CONCATENATE('2 Inv Calcs'!BR19,"A"," &amp; ",'2 Inv Calcs'!BV19,"A")</f>
        <v>12.5A &amp; 12.5A</v>
      </c>
      <c r="G74" s="25"/>
      <c r="H74" s="262">
        <v>4</v>
      </c>
      <c r="I74" s="440" t="str">
        <f>CONCATENATE("(",'2 Inv Calcs'!AJ11,") ","#",'2 Inv Calcs'!BA11," AWG ",'2 Inv Calcs'!AO11,", COPPER")</f>
        <v>(2) #10 AWG THWN-2, COPPER</v>
      </c>
      <c r="J74" s="441"/>
      <c r="K74" s="442"/>
      <c r="L74" s="440" t="str">
        <f>IF('2 Inv Calcs'!AK11=0,"N/A",CONCATENATE("(",'2 Inv Calcs'!AK11,") ","#",'2 Inv Calcs'!BB11," AWG ",'2 Inv Calcs'!AO11,", COPPER"))</f>
        <v>N/A</v>
      </c>
      <c r="M74" s="441"/>
      <c r="N74" s="442"/>
      <c r="O74" s="440" t="str">
        <f>CONCATENATE("(",'2 Inv Calcs'!AL11,") ","#",'2 Inv Calcs'!BC11," AWG, ",'2 Inv Calcs'!AP11,", COPPER EGC")</f>
        <v>(1) #10 AWG, THWN-2, COPPER EGC</v>
      </c>
      <c r="P74" s="441"/>
      <c r="Q74" s="441"/>
      <c r="R74" s="442"/>
      <c r="S74" s="440" t="str">
        <f>IF('2 Inv Calcs'!AN11="Free Air","N/A - FREE AIR",CONCATENATE('2 Inv Calcs'!BE11,""" DIA. EMT"))</f>
        <v>0.75" DIA. EMT</v>
      </c>
      <c r="T74" s="441"/>
      <c r="U74" s="442"/>
      <c r="V74" s="271"/>
      <c r="W74" s="32"/>
    </row>
    <row r="75" spans="1:23" x14ac:dyDescent="0.2">
      <c r="A75" s="32"/>
      <c r="B75" s="270"/>
      <c r="C75" s="42"/>
      <c r="D75" s="25"/>
      <c r="E75" s="25"/>
      <c r="F75" s="25"/>
      <c r="G75" s="28"/>
      <c r="H75" s="36">
        <v>5</v>
      </c>
      <c r="I75" s="440" t="str">
        <f>CONCATENATE("(",'2 Inv Calcs'!AJ12,") ","#",'2 Inv Calcs'!BA12," AWG ",'2 Inv Calcs'!AO12,", COPPER")</f>
        <v>(2) #10 AWG THWN-2, COPPER</v>
      </c>
      <c r="J75" s="441"/>
      <c r="K75" s="442"/>
      <c r="L75" s="440" t="str">
        <f>IF('2 Inv Calcs'!AK12=0,"N/A",CONCATENATE("(",'2 Inv Calcs'!AK12,") ","#",'2 Inv Calcs'!BB12," AWG ",'2 Inv Calcs'!AO12,", COPPER"))</f>
        <v>(1) #10 AWG THWN-2, COPPER</v>
      </c>
      <c r="M75" s="441"/>
      <c r="N75" s="442"/>
      <c r="O75" s="440" t="str">
        <f>CONCATENATE("(",'2 Inv Calcs'!AL12,") ","#",'2 Inv Calcs'!BC12," AWG, ",'2 Inv Calcs'!AP12,", COPPER EGC")</f>
        <v>(1) #10 AWG, THWN-2, COPPER EGC</v>
      </c>
      <c r="P75" s="441"/>
      <c r="Q75" s="441"/>
      <c r="R75" s="442"/>
      <c r="S75" s="440" t="str">
        <f>IF('2 Inv Calcs'!AN12="Free Air","N/A - FREE AIR",CONCATENATE('2 Inv Calcs'!BE12,""" DIA. EMT"))</f>
        <v>0.75" DIA. EMT</v>
      </c>
      <c r="T75" s="441"/>
      <c r="U75" s="442"/>
      <c r="V75" s="271"/>
      <c r="W75" s="32"/>
    </row>
    <row r="76" spans="1:23" x14ac:dyDescent="0.2">
      <c r="A76" s="32"/>
      <c r="B76" s="270"/>
      <c r="C76" s="42"/>
      <c r="D76" s="25"/>
      <c r="E76" s="25"/>
      <c r="F76" s="25"/>
      <c r="G76" s="25"/>
      <c r="H76" s="262">
        <v>6</v>
      </c>
      <c r="I76" s="440" t="str">
        <f>CONCATENATE("(",'2 Inv Calcs'!AJ13,") ","#",'2 Inv Calcs'!BA13," AWG ",'2 Inv Calcs'!AO13,", COPPER")</f>
        <v>(2) #10 AWG THWN-2, COPPER</v>
      </c>
      <c r="J76" s="441"/>
      <c r="K76" s="442"/>
      <c r="L76" s="440" t="str">
        <f>IF('2 Inv Calcs'!AK13=0,"N/A",CONCATENATE("(",'2 Inv Calcs'!AK13,") ","#",'2 Inv Calcs'!BB13," AWG ",'2 Inv Calcs'!AO13,", COPPER"))</f>
        <v>(1) #10 AWG THWN-2, COPPER</v>
      </c>
      <c r="M76" s="441"/>
      <c r="N76" s="442"/>
      <c r="O76" s="440" t="str">
        <f>CONCATENATE("(",'2 Inv Calcs'!AL13,") ","#",'2 Inv Calcs'!BC13," AWG, ",'2 Inv Calcs'!AP13,", COPPER EGC")</f>
        <v>(1) #10 AWG, THWN-2, COPPER EGC</v>
      </c>
      <c r="P76" s="441"/>
      <c r="Q76" s="441"/>
      <c r="R76" s="442"/>
      <c r="S76" s="440" t="str">
        <f>IF('2 Inv Calcs'!AN13="Free Air","N/A - FREE AIR",CONCATENATE('2 Inv Calcs'!BE13,""" DIA. EMT"))</f>
        <v>0.75" DIA. EMT</v>
      </c>
      <c r="T76" s="441"/>
      <c r="U76" s="442"/>
      <c r="V76" s="271"/>
      <c r="W76" s="32"/>
    </row>
    <row r="77" spans="1:23" x14ac:dyDescent="0.2">
      <c r="B77" s="270"/>
      <c r="C77" s="44"/>
      <c r="D77" s="26"/>
      <c r="E77" s="26"/>
      <c r="F77" s="26"/>
      <c r="G77" s="26"/>
      <c r="H77" s="251" t="str">
        <f>C41</f>
        <v>7-8</v>
      </c>
      <c r="I77" s="426" t="str">
        <f>CONCATENATE("(",'2 Inv Calcs'!AJ14,") ","#",'2 Inv Calcs'!BA14," AWG ",'2 Inv Calcs'!AO14,", COPPER")</f>
        <v>(2) #10 AWG THWN-2, COPPER</v>
      </c>
      <c r="J77" s="427"/>
      <c r="K77" s="428"/>
      <c r="L77" s="426" t="str">
        <f>IF('2 Inv Calcs'!AK14=0,"N/A",CONCATENATE("(",'2 Inv Calcs'!AK14,") ","#",'2 Inv Calcs'!BB14," AWG ",'2 Inv Calcs'!AO14,", COPPER"))</f>
        <v>(1) #10 AWG THWN-2, COPPER</v>
      </c>
      <c r="M77" s="427"/>
      <c r="N77" s="428"/>
      <c r="O77" s="426" t="str">
        <f>CONCATENATE("(",'2 Inv Calcs'!AL14,") ","#",'2 Inv Calcs'!BC14," AWG, ",'2 Inv Calcs'!AP14,", COPPER EGC")</f>
        <v>(1) #10 AWG, THWN-2, COPPER EGC</v>
      </c>
      <c r="P77" s="427"/>
      <c r="Q77" s="427"/>
      <c r="R77" s="428"/>
      <c r="S77" s="426" t="str">
        <f>IF('2 Inv Calcs'!AN14="Free Air","N/A - FREE AIR",CONCATENATE('2 Inv Calcs'!BE14,""" DIA. EMT"))</f>
        <v>0.75" DIA. EMT</v>
      </c>
      <c r="T77" s="427"/>
      <c r="U77" s="428"/>
      <c r="V77" s="271"/>
    </row>
    <row r="78" spans="1:23" x14ac:dyDescent="0.2">
      <c r="B78" s="42"/>
      <c r="C78" s="25"/>
      <c r="D78" s="25"/>
      <c r="E78" s="25"/>
      <c r="F78" s="25"/>
      <c r="G78" s="25"/>
      <c r="H78" s="25"/>
      <c r="I78" s="25"/>
      <c r="J78" s="25"/>
      <c r="K78" s="25"/>
      <c r="L78" s="25"/>
      <c r="M78" s="25"/>
      <c r="N78" s="25"/>
      <c r="O78" s="25"/>
      <c r="P78" s="25"/>
      <c r="Q78" s="25"/>
      <c r="R78" s="25"/>
      <c r="S78" s="25"/>
      <c r="T78" s="25"/>
      <c r="U78" s="25"/>
      <c r="V78" s="28"/>
    </row>
    <row r="79" spans="1:23" x14ac:dyDescent="0.2">
      <c r="B79" s="42"/>
      <c r="C79" s="25"/>
      <c r="D79" s="25"/>
      <c r="E79" s="25"/>
      <c r="F79" s="25"/>
      <c r="G79" s="25"/>
      <c r="H79" s="25"/>
      <c r="I79" s="25"/>
      <c r="J79" s="25"/>
      <c r="K79" s="25"/>
      <c r="L79" s="25"/>
      <c r="M79" s="25"/>
      <c r="N79" s="25"/>
      <c r="O79" s="25"/>
      <c r="P79" s="25"/>
      <c r="Q79" s="25"/>
      <c r="R79" s="25"/>
      <c r="S79" s="25"/>
      <c r="T79" s="25"/>
      <c r="U79" s="25"/>
      <c r="V79" s="28"/>
    </row>
    <row r="80" spans="1:23" x14ac:dyDescent="0.2">
      <c r="B80" s="42"/>
      <c r="C80" s="25"/>
      <c r="D80" s="25"/>
      <c r="E80" s="25"/>
      <c r="F80" s="25"/>
      <c r="G80" s="25"/>
      <c r="H80" s="25"/>
      <c r="I80" s="25"/>
      <c r="J80" s="25"/>
      <c r="K80" s="25"/>
      <c r="L80" s="25"/>
      <c r="M80" s="25"/>
      <c r="N80" s="25"/>
      <c r="O80" s="25"/>
      <c r="P80" s="25"/>
      <c r="Q80" s="25"/>
      <c r="R80" s="25"/>
      <c r="S80" s="25"/>
      <c r="T80" s="25"/>
      <c r="U80" s="25"/>
      <c r="V80" s="28"/>
    </row>
    <row r="81" spans="2:22" x14ac:dyDescent="0.2">
      <c r="B81" s="42"/>
      <c r="C81" s="25"/>
      <c r="D81" s="25"/>
      <c r="E81" s="25"/>
      <c r="F81" s="25"/>
      <c r="G81" s="25"/>
      <c r="H81" s="25"/>
      <c r="I81" s="25"/>
      <c r="J81" s="25"/>
      <c r="K81" s="25"/>
      <c r="L81" s="25"/>
      <c r="M81" s="25"/>
      <c r="N81" s="25"/>
      <c r="O81" s="25"/>
      <c r="P81" s="25"/>
      <c r="Q81" s="25"/>
      <c r="R81" s="25"/>
      <c r="S81" s="25"/>
      <c r="T81" s="25"/>
      <c r="U81" s="25"/>
      <c r="V81" s="28"/>
    </row>
    <row r="82" spans="2:22" x14ac:dyDescent="0.2">
      <c r="B82" s="42"/>
      <c r="C82" s="25"/>
      <c r="D82" s="25"/>
      <c r="E82" s="25"/>
      <c r="F82" s="25"/>
      <c r="G82" s="25"/>
      <c r="H82" s="25"/>
      <c r="I82" s="25"/>
      <c r="J82" s="25"/>
      <c r="K82" s="25"/>
      <c r="L82" s="25"/>
      <c r="M82" s="25"/>
      <c r="N82" s="25"/>
      <c r="O82" s="25"/>
      <c r="P82" s="25"/>
      <c r="Q82" s="25"/>
      <c r="R82" s="25"/>
      <c r="S82" s="25"/>
      <c r="T82" s="25"/>
      <c r="U82" s="25"/>
      <c r="V82" s="28"/>
    </row>
    <row r="83" spans="2:22" x14ac:dyDescent="0.2">
      <c r="B83" s="44"/>
      <c r="C83" s="26"/>
      <c r="D83" s="26"/>
      <c r="E83" s="26"/>
      <c r="F83" s="26"/>
      <c r="G83" s="26"/>
      <c r="H83" s="26"/>
      <c r="I83" s="26"/>
      <c r="J83" s="26"/>
      <c r="K83" s="26"/>
      <c r="L83" s="26"/>
      <c r="M83" s="26"/>
      <c r="N83" s="26"/>
      <c r="O83" s="26"/>
      <c r="P83" s="26"/>
      <c r="Q83" s="26"/>
      <c r="R83" s="26"/>
      <c r="S83" s="26"/>
      <c r="T83" s="26"/>
      <c r="U83" s="26"/>
      <c r="V83" s="48"/>
    </row>
  </sheetData>
  <mergeCells count="243">
    <mergeCell ref="X2:Y2"/>
    <mergeCell ref="C7:G7"/>
    <mergeCell ref="C8:G8"/>
    <mergeCell ref="C11:G11"/>
    <mergeCell ref="H11:J11"/>
    <mergeCell ref="R11:S11"/>
    <mergeCell ref="T11:U11"/>
    <mergeCell ref="P8:U8"/>
    <mergeCell ref="C5:M5"/>
    <mergeCell ref="C6:G6"/>
    <mergeCell ref="H6:J6"/>
    <mergeCell ref="K6:M6"/>
    <mergeCell ref="C9:G9"/>
    <mergeCell ref="R9:S9"/>
    <mergeCell ref="T9:U9"/>
    <mergeCell ref="C10:G10"/>
    <mergeCell ref="H10:J10"/>
    <mergeCell ref="R10:S10"/>
    <mergeCell ref="T10:U10"/>
    <mergeCell ref="P9:Q9"/>
    <mergeCell ref="B2:V2"/>
    <mergeCell ref="C18:U18"/>
    <mergeCell ref="C19:D19"/>
    <mergeCell ref="E19:G19"/>
    <mergeCell ref="H19:J19"/>
    <mergeCell ref="K19:M19"/>
    <mergeCell ref="N19:P19"/>
    <mergeCell ref="Q19:R19"/>
    <mergeCell ref="S19:U19"/>
    <mergeCell ref="T15:U15"/>
    <mergeCell ref="C16:D16"/>
    <mergeCell ref="E16:G16"/>
    <mergeCell ref="H16:I16"/>
    <mergeCell ref="J16:K16"/>
    <mergeCell ref="L16:M16"/>
    <mergeCell ref="N16:O16"/>
    <mergeCell ref="P16:Q16"/>
    <mergeCell ref="R16:S16"/>
    <mergeCell ref="T16:U16"/>
    <mergeCell ref="H15:I15"/>
    <mergeCell ref="J15:K15"/>
    <mergeCell ref="L15:M15"/>
    <mergeCell ref="N15:O15"/>
    <mergeCell ref="H29:J29"/>
    <mergeCell ref="K29:N29"/>
    <mergeCell ref="O29:Q29"/>
    <mergeCell ref="R29:U29"/>
    <mergeCell ref="C29:D29"/>
    <mergeCell ref="E29:G29"/>
    <mergeCell ref="K28:U28"/>
    <mergeCell ref="S20:U20"/>
    <mergeCell ref="C22:U22"/>
    <mergeCell ref="C23:D24"/>
    <mergeCell ref="E23:G24"/>
    <mergeCell ref="H23:I24"/>
    <mergeCell ref="J23:K24"/>
    <mergeCell ref="L23:M24"/>
    <mergeCell ref="N23:O24"/>
    <mergeCell ref="P23:Q24"/>
    <mergeCell ref="R23:S24"/>
    <mergeCell ref="C20:D20"/>
    <mergeCell ref="E20:G20"/>
    <mergeCell ref="H20:J20"/>
    <mergeCell ref="K20:M20"/>
    <mergeCell ref="N20:P20"/>
    <mergeCell ref="Q20:R20"/>
    <mergeCell ref="T23:U24"/>
    <mergeCell ref="M34:O34"/>
    <mergeCell ref="P34:R34"/>
    <mergeCell ref="S34:U34"/>
    <mergeCell ref="D35:F35"/>
    <mergeCell ref="G35:H35"/>
    <mergeCell ref="I35:K35"/>
    <mergeCell ref="M35:O35"/>
    <mergeCell ref="P35:R35"/>
    <mergeCell ref="S35:U35"/>
    <mergeCell ref="D34:F34"/>
    <mergeCell ref="G34:H34"/>
    <mergeCell ref="I34:K34"/>
    <mergeCell ref="M37:O37"/>
    <mergeCell ref="P37:R37"/>
    <mergeCell ref="D38:F38"/>
    <mergeCell ref="G38:H38"/>
    <mergeCell ref="S37:U37"/>
    <mergeCell ref="D36:F36"/>
    <mergeCell ref="G36:H36"/>
    <mergeCell ref="I36:K36"/>
    <mergeCell ref="M36:O36"/>
    <mergeCell ref="P36:R36"/>
    <mergeCell ref="S36:U36"/>
    <mergeCell ref="D47:F47"/>
    <mergeCell ref="G47:H47"/>
    <mergeCell ref="D41:F41"/>
    <mergeCell ref="G41:H41"/>
    <mergeCell ref="M41:O41"/>
    <mergeCell ref="D40:F40"/>
    <mergeCell ref="G40:H40"/>
    <mergeCell ref="M40:O40"/>
    <mergeCell ref="P40:R40"/>
    <mergeCell ref="D44:F44"/>
    <mergeCell ref="G44:H44"/>
    <mergeCell ref="I44:J44"/>
    <mergeCell ref="K44:L44"/>
    <mergeCell ref="M44:O44"/>
    <mergeCell ref="P44:Q44"/>
    <mergeCell ref="D43:F43"/>
    <mergeCell ref="G43:H43"/>
    <mergeCell ref="I47:J47"/>
    <mergeCell ref="K47:L47"/>
    <mergeCell ref="M47:O47"/>
    <mergeCell ref="P47:Q47"/>
    <mergeCell ref="D46:F46"/>
    <mergeCell ref="G46:H46"/>
    <mergeCell ref="I46:J46"/>
    <mergeCell ref="I71:K71"/>
    <mergeCell ref="L71:N71"/>
    <mergeCell ref="O71:R71"/>
    <mergeCell ref="S71:U71"/>
    <mergeCell ref="I70:K70"/>
    <mergeCell ref="L70:N70"/>
    <mergeCell ref="O70:R70"/>
    <mergeCell ref="S70:U70"/>
    <mergeCell ref="M48:O48"/>
    <mergeCell ref="P48:Q48"/>
    <mergeCell ref="C50:U50"/>
    <mergeCell ref="C52:U52"/>
    <mergeCell ref="D48:F48"/>
    <mergeCell ref="G48:H48"/>
    <mergeCell ref="I48:J48"/>
    <mergeCell ref="K48:L48"/>
    <mergeCell ref="H69:U69"/>
    <mergeCell ref="R66:S66"/>
    <mergeCell ref="R67:S67"/>
    <mergeCell ref="R68:S68"/>
    <mergeCell ref="B54:V54"/>
    <mergeCell ref="K46:L46"/>
    <mergeCell ref="D45:F45"/>
    <mergeCell ref="G45:H45"/>
    <mergeCell ref="I45:J45"/>
    <mergeCell ref="K45:L45"/>
    <mergeCell ref="M45:O45"/>
    <mergeCell ref="P45:Q45"/>
    <mergeCell ref="M46:O46"/>
    <mergeCell ref="P46:Q46"/>
    <mergeCell ref="C30:D30"/>
    <mergeCell ref="E30:G30"/>
    <mergeCell ref="S40:U40"/>
    <mergeCell ref="I41:K41"/>
    <mergeCell ref="P41:R41"/>
    <mergeCell ref="S41:U41"/>
    <mergeCell ref="I40:K40"/>
    <mergeCell ref="I43:J43"/>
    <mergeCell ref="K43:L43"/>
    <mergeCell ref="P38:R38"/>
    <mergeCell ref="S38:U38"/>
    <mergeCell ref="I39:K39"/>
    <mergeCell ref="P39:R39"/>
    <mergeCell ref="S39:U39"/>
    <mergeCell ref="I38:K38"/>
    <mergeCell ref="M38:O38"/>
    <mergeCell ref="M43:O43"/>
    <mergeCell ref="P43:Q43"/>
    <mergeCell ref="D39:F39"/>
    <mergeCell ref="G39:H39"/>
    <mergeCell ref="M39:O39"/>
    <mergeCell ref="D37:F37"/>
    <mergeCell ref="G37:H37"/>
    <mergeCell ref="I37:K37"/>
    <mergeCell ref="H25:I25"/>
    <mergeCell ref="J25:K25"/>
    <mergeCell ref="L25:M25"/>
    <mergeCell ref="N25:O25"/>
    <mergeCell ref="P25:Q25"/>
    <mergeCell ref="R25:S25"/>
    <mergeCell ref="C25:D25"/>
    <mergeCell ref="E25:G25"/>
    <mergeCell ref="R32:U32"/>
    <mergeCell ref="H31:J31"/>
    <mergeCell ref="K31:N31"/>
    <mergeCell ref="O31:Q31"/>
    <mergeCell ref="R31:U31"/>
    <mergeCell ref="C32:D32"/>
    <mergeCell ref="E32:G32"/>
    <mergeCell ref="H30:J30"/>
    <mergeCell ref="K30:N30"/>
    <mergeCell ref="O30:Q30"/>
    <mergeCell ref="H32:J32"/>
    <mergeCell ref="K32:N32"/>
    <mergeCell ref="O32:Q32"/>
    <mergeCell ref="R30:U30"/>
    <mergeCell ref="C31:D31"/>
    <mergeCell ref="E31:G31"/>
    <mergeCell ref="C14:U14"/>
    <mergeCell ref="C15:D15"/>
    <mergeCell ref="E15:G15"/>
    <mergeCell ref="P15:Q15"/>
    <mergeCell ref="R15:S15"/>
    <mergeCell ref="K11:M11"/>
    <mergeCell ref="P11:Q11"/>
    <mergeCell ref="K10:M10"/>
    <mergeCell ref="P10:Q10"/>
    <mergeCell ref="K12:M12"/>
    <mergeCell ref="P12:Q12"/>
    <mergeCell ref="C12:G12"/>
    <mergeCell ref="H12:J12"/>
    <mergeCell ref="R12:S12"/>
    <mergeCell ref="T12:U12"/>
    <mergeCell ref="I77:K77"/>
    <mergeCell ref="L77:N77"/>
    <mergeCell ref="O77:R77"/>
    <mergeCell ref="S77:U77"/>
    <mergeCell ref="I76:K76"/>
    <mergeCell ref="L76:N76"/>
    <mergeCell ref="O76:R76"/>
    <mergeCell ref="S76:U76"/>
    <mergeCell ref="I75:K75"/>
    <mergeCell ref="L75:N75"/>
    <mergeCell ref="O75:R75"/>
    <mergeCell ref="S75:U75"/>
    <mergeCell ref="X21:Y21"/>
    <mergeCell ref="I74:K74"/>
    <mergeCell ref="L74:N74"/>
    <mergeCell ref="O74:R74"/>
    <mergeCell ref="S74:U74"/>
    <mergeCell ref="I73:K73"/>
    <mergeCell ref="L73:N73"/>
    <mergeCell ref="O73:R73"/>
    <mergeCell ref="S73:U73"/>
    <mergeCell ref="I72:K72"/>
    <mergeCell ref="L72:N72"/>
    <mergeCell ref="O72:R72"/>
    <mergeCell ref="S72:U72"/>
    <mergeCell ref="N26:O26"/>
    <mergeCell ref="P26:Q26"/>
    <mergeCell ref="R26:S26"/>
    <mergeCell ref="T26:U26"/>
    <mergeCell ref="C28:J28"/>
    <mergeCell ref="T25:U25"/>
    <mergeCell ref="C26:D26"/>
    <mergeCell ref="E26:G26"/>
    <mergeCell ref="H26:I26"/>
    <mergeCell ref="J26:K26"/>
    <mergeCell ref="L26:M26"/>
  </mergeCells>
  <pageMargins left="0.7" right="0.7" top="0.75" bottom="0.75" header="0.3" footer="0.3"/>
  <pageSetup orientation="portrait" horizontalDpi="360" verticalDpi="36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586D5AC2-373D-4DF5-9E8C-EA6EEAAB012E}">
            <xm:f>'2 Inv Input'!$D$8=2014</xm:f>
            <x14:dxf>
              <font>
                <color theme="0"/>
              </font>
            </x14:dxf>
          </x14:cfRule>
          <x14:cfRule type="expression" priority="2" id="{7F94A10A-1E33-4DB0-B998-65AFE81E785A}">
            <xm:f>'2 Inv Input'!$D$8=2011</xm:f>
            <x14:dxf>
              <font>
                <color theme="0"/>
              </font>
            </x14:dxf>
          </x14:cfRule>
          <xm:sqref>C52:U52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529697-FAE0-40CA-9441-F9C9E59EF7AA}">
  <sheetPr codeName="Sheet15">
    <tabColor rgb="FFFF0000"/>
  </sheetPr>
  <dimension ref="B1:CV98"/>
  <sheetViews>
    <sheetView topLeftCell="AE1" zoomScale="80" zoomScaleNormal="80" workbookViewId="0">
      <selection activeCell="AE1" sqref="AE1"/>
    </sheetView>
  </sheetViews>
  <sheetFormatPr defaultRowHeight="15" customHeight="1" x14ac:dyDescent="0.2"/>
  <cols>
    <col min="1" max="1" width="9.140625" style="1" customWidth="1"/>
    <col min="2" max="2" width="20.140625" style="1" customWidth="1"/>
    <col min="3" max="3" width="10.28515625" style="1" customWidth="1"/>
    <col min="4" max="4" width="10.7109375" style="1" customWidth="1"/>
    <col min="5" max="7" width="9.140625" style="1" customWidth="1"/>
    <col min="8" max="8" width="11" style="1" customWidth="1"/>
    <col min="9" max="9" width="10.85546875" style="1" customWidth="1"/>
    <col min="10" max="12" width="9.140625" style="1" customWidth="1"/>
    <col min="13" max="13" width="11" style="1" customWidth="1"/>
    <col min="14" max="14" width="10.85546875" style="1" customWidth="1"/>
    <col min="15" max="17" width="9.140625" style="1" customWidth="1"/>
    <col min="18" max="18" width="10.7109375" style="1" customWidth="1"/>
    <col min="19" max="19" width="10.85546875" style="1" customWidth="1"/>
    <col min="20" max="20" width="9.140625" style="1" customWidth="1"/>
    <col min="21" max="21" width="17" style="1" customWidth="1"/>
    <col min="22" max="22" width="9.85546875" style="1" customWidth="1"/>
    <col min="23" max="23" width="13.42578125" style="1" customWidth="1"/>
    <col min="24" max="24" width="10.5703125" style="1" customWidth="1"/>
    <col min="25" max="25" width="14.7109375" style="1" customWidth="1"/>
    <col min="26" max="26" width="9.140625" style="1" customWidth="1"/>
    <col min="27" max="27" width="11.85546875" style="1" customWidth="1"/>
    <col min="28" max="28" width="11.140625" style="1" customWidth="1"/>
    <col min="29" max="29" width="10.28515625" style="1" customWidth="1"/>
    <col min="30" max="30" width="9.140625" style="1"/>
    <col min="31" max="31" width="29.140625" style="1" bestFit="1" customWidth="1"/>
    <col min="32" max="32" width="10" style="1" bestFit="1" customWidth="1"/>
    <col min="33" max="33" width="9.140625" style="1"/>
    <col min="34" max="34" width="39.5703125" style="1" bestFit="1" customWidth="1"/>
    <col min="35" max="35" width="21.28515625" style="1" bestFit="1" customWidth="1"/>
    <col min="36" max="36" width="17" style="1" bestFit="1" customWidth="1"/>
    <col min="37" max="37" width="13.7109375" style="1" bestFit="1" customWidth="1"/>
    <col min="38" max="38" width="13.85546875" style="1" bestFit="1" customWidth="1"/>
    <col min="39" max="39" width="11.42578125" style="1" customWidth="1"/>
    <col min="40" max="40" width="8.85546875" style="1" bestFit="1" customWidth="1"/>
    <col min="41" max="41" width="11.42578125" style="1" bestFit="1" customWidth="1"/>
    <col min="42" max="42" width="10.85546875" style="1" bestFit="1" customWidth="1"/>
    <col min="43" max="43" width="14.28515625" style="1" bestFit="1" customWidth="1"/>
    <col min="44" max="44" width="10.7109375" style="1" bestFit="1" customWidth="1"/>
    <col min="45" max="45" width="15.7109375" style="1" bestFit="1" customWidth="1"/>
    <col min="46" max="46" width="11.7109375" style="1" bestFit="1" customWidth="1"/>
    <col min="47" max="47" width="16" style="1" customWidth="1"/>
    <col min="48" max="48" width="19.28515625" style="1" bestFit="1" customWidth="1"/>
    <col min="49" max="49" width="19.42578125" style="1" bestFit="1" customWidth="1"/>
    <col min="50" max="50" width="16.85546875" style="1" customWidth="1"/>
    <col min="51" max="51" width="13.7109375" style="1" customWidth="1"/>
    <col min="52" max="52" width="13.85546875" style="1" customWidth="1"/>
    <col min="53" max="53" width="17" style="1" bestFit="1" customWidth="1"/>
    <col min="54" max="54" width="13.7109375" style="1" bestFit="1" customWidth="1"/>
    <col min="55" max="55" width="13.85546875" style="1" customWidth="1"/>
    <col min="56" max="56" width="10.7109375" style="1" bestFit="1" customWidth="1"/>
    <col min="57" max="57" width="10.140625" style="1" bestFit="1" customWidth="1"/>
    <col min="58" max="58" width="19.28515625" style="1" bestFit="1" customWidth="1"/>
    <col min="59" max="59" width="16.5703125" style="1" bestFit="1" customWidth="1"/>
    <col min="60" max="60" width="18.7109375" style="1" bestFit="1" customWidth="1"/>
    <col min="61" max="61" width="15.140625" style="1" bestFit="1" customWidth="1"/>
    <col min="62" max="64" width="9.140625" style="1"/>
    <col min="65" max="65" width="32.42578125" style="1" bestFit="1" customWidth="1"/>
    <col min="66" max="68" width="9.140625" style="1"/>
    <col min="69" max="69" width="29.140625" style="1" bestFit="1" customWidth="1"/>
    <col min="70" max="70" width="18.7109375" style="1" customWidth="1"/>
    <col min="71" max="71" width="10.7109375" style="1" customWidth="1"/>
    <col min="72" max="72" width="9.140625" style="1"/>
    <col min="73" max="73" width="29.140625" style="1" bestFit="1" customWidth="1"/>
    <col min="74" max="74" width="18.7109375" style="1" customWidth="1"/>
    <col min="75" max="75" width="10.7109375" style="1" customWidth="1"/>
    <col min="76" max="76" width="9.140625" style="1"/>
    <col min="77" max="77" width="35.5703125" style="1" bestFit="1" customWidth="1"/>
    <col min="78" max="78" width="34.85546875" style="1" bestFit="1" customWidth="1"/>
    <col min="79" max="80" width="12.7109375" style="1" customWidth="1"/>
    <col min="81" max="81" width="8" style="1" customWidth="1"/>
    <col min="82" max="82" width="7.28515625" style="1" customWidth="1"/>
    <col min="83" max="83" width="18" style="1" customWidth="1"/>
    <col min="84" max="98" width="10.7109375" style="1" customWidth="1"/>
    <col min="99" max="99" width="35.5703125" style="1" bestFit="1" customWidth="1"/>
    <col min="100" max="100" width="34.85546875" style="1" bestFit="1" customWidth="1"/>
    <col min="101" max="16384" width="9.140625" style="1"/>
  </cols>
  <sheetData>
    <row r="1" spans="2:99" ht="15" customHeight="1" x14ac:dyDescent="0.2">
      <c r="B1" s="5"/>
      <c r="C1" s="5"/>
      <c r="D1" s="5"/>
      <c r="E1" s="5"/>
      <c r="F1" s="5"/>
      <c r="G1" s="5"/>
      <c r="H1" s="5"/>
      <c r="I1" s="5"/>
      <c r="U1" s="5"/>
      <c r="Y1" s="5"/>
      <c r="AA1" s="5"/>
      <c r="AB1" s="5"/>
      <c r="AU1" s="512" t="s">
        <v>55</v>
      </c>
      <c r="BK1" s="242"/>
      <c r="BL1" s="30"/>
      <c r="BM1" s="30"/>
      <c r="BN1" s="30"/>
      <c r="BO1" s="30"/>
      <c r="BP1" s="30"/>
      <c r="BQ1" s="30"/>
      <c r="BR1" s="30"/>
      <c r="BS1" s="30"/>
      <c r="BT1" s="30"/>
    </row>
    <row r="2" spans="2:99" ht="15" customHeight="1" x14ac:dyDescent="0.2">
      <c r="B2" s="5"/>
      <c r="C2" s="5"/>
      <c r="D2" s="5"/>
      <c r="E2" s="5"/>
      <c r="F2" s="5"/>
      <c r="G2" s="5"/>
      <c r="H2" s="5"/>
      <c r="I2" s="5"/>
      <c r="U2" s="5"/>
      <c r="Y2" s="5"/>
      <c r="AA2" s="5"/>
      <c r="AB2" s="5"/>
      <c r="AM2" s="536" t="str">
        <f>IF(AF3="Texas Energy Experts","0.4% DB High Temp","2% DB 
High Temp")</f>
        <v>2% DB 
High Temp</v>
      </c>
      <c r="AO2" s="101" t="s">
        <v>215</v>
      </c>
      <c r="AP2" s="101" t="s">
        <v>113</v>
      </c>
      <c r="AR2" s="190"/>
      <c r="AU2" s="513"/>
      <c r="AV2" s="190"/>
      <c r="AW2" s="92"/>
      <c r="AX2" s="458" t="s">
        <v>672</v>
      </c>
      <c r="AY2" s="459"/>
      <c r="AZ2" s="460"/>
      <c r="BA2" s="458" t="s">
        <v>655</v>
      </c>
      <c r="BB2" s="459"/>
      <c r="BC2" s="460"/>
      <c r="BG2" s="538" t="s">
        <v>73</v>
      </c>
      <c r="BH2" s="538"/>
      <c r="BI2" s="192" t="s">
        <v>79</v>
      </c>
      <c r="BK2" s="243"/>
      <c r="BL2" s="3"/>
      <c r="BM2" s="598" t="s">
        <v>120</v>
      </c>
      <c r="BN2" s="599"/>
      <c r="BO2" s="599"/>
      <c r="BP2" s="599"/>
      <c r="BQ2" s="599"/>
      <c r="BR2" s="599"/>
      <c r="BS2" s="599"/>
      <c r="BT2" s="599"/>
      <c r="BU2" s="599"/>
      <c r="BV2" s="599"/>
      <c r="BW2" s="600"/>
      <c r="BY2" s="93" t="s">
        <v>182</v>
      </c>
    </row>
    <row r="3" spans="2:99" ht="15" customHeight="1" x14ac:dyDescent="0.2">
      <c r="B3" s="478" t="s">
        <v>12</v>
      </c>
      <c r="C3" s="478"/>
      <c r="D3" s="478"/>
      <c r="E3" s="5"/>
      <c r="F3" s="539" t="s">
        <v>15</v>
      </c>
      <c r="G3" s="539"/>
      <c r="H3" s="539"/>
      <c r="I3" s="539"/>
      <c r="J3" s="3"/>
      <c r="K3" s="539" t="s">
        <v>15</v>
      </c>
      <c r="L3" s="539"/>
      <c r="M3" s="539"/>
      <c r="N3" s="539"/>
      <c r="O3" s="3"/>
      <c r="P3" s="478" t="s">
        <v>20</v>
      </c>
      <c r="Q3" s="478"/>
      <c r="R3" s="478"/>
      <c r="S3" s="478"/>
      <c r="T3" s="3"/>
      <c r="U3" s="478" t="s">
        <v>56</v>
      </c>
      <c r="V3" s="478"/>
      <c r="W3" s="478"/>
      <c r="X3" s="478"/>
      <c r="Y3" s="478"/>
      <c r="Z3" s="3"/>
      <c r="AA3" s="478" t="s">
        <v>65</v>
      </c>
      <c r="AB3" s="478"/>
      <c r="AC3" s="478"/>
      <c r="AD3" s="3"/>
      <c r="AE3" s="103" t="s">
        <v>93</v>
      </c>
      <c r="AF3" s="244" t="str">
        <f>'2 Inv Input'!D4</f>
        <v>Palmetto</v>
      </c>
      <c r="AH3" s="37" t="s">
        <v>11</v>
      </c>
      <c r="AI3" s="37" t="s">
        <v>569</v>
      </c>
      <c r="AJ3" s="37" t="s">
        <v>7</v>
      </c>
      <c r="AK3" s="37" t="s">
        <v>6</v>
      </c>
      <c r="AL3" s="194" t="s">
        <v>5</v>
      </c>
      <c r="AM3" s="537"/>
      <c r="AN3" s="195" t="s">
        <v>85</v>
      </c>
      <c r="AO3" s="29" t="s">
        <v>57</v>
      </c>
      <c r="AP3" s="29" t="s">
        <v>57</v>
      </c>
      <c r="AQ3" s="196" t="s">
        <v>0</v>
      </c>
      <c r="AR3" s="37" t="s">
        <v>1</v>
      </c>
      <c r="AS3" s="37" t="s">
        <v>2</v>
      </c>
      <c r="AT3" s="37" t="s">
        <v>224</v>
      </c>
      <c r="AU3" s="37" t="s">
        <v>3</v>
      </c>
      <c r="AV3" s="92" t="s">
        <v>4</v>
      </c>
      <c r="AW3" s="37" t="s">
        <v>52</v>
      </c>
      <c r="AX3" s="37" t="s">
        <v>8</v>
      </c>
      <c r="AY3" s="37" t="s">
        <v>64</v>
      </c>
      <c r="AZ3" s="37" t="s">
        <v>9</v>
      </c>
      <c r="BA3" s="37" t="s">
        <v>8</v>
      </c>
      <c r="BB3" s="37" t="s">
        <v>64</v>
      </c>
      <c r="BC3" s="37" t="s">
        <v>9</v>
      </c>
      <c r="BD3" s="37" t="s">
        <v>53</v>
      </c>
      <c r="BE3" s="37" t="s">
        <v>10</v>
      </c>
      <c r="BF3" s="37" t="s">
        <v>232</v>
      </c>
      <c r="BG3" s="37" t="s">
        <v>71</v>
      </c>
      <c r="BH3" s="37" t="s">
        <v>72</v>
      </c>
      <c r="BI3" s="37" t="s">
        <v>78</v>
      </c>
      <c r="BK3" s="243"/>
      <c r="BL3" s="30"/>
      <c r="BM3" s="30"/>
      <c r="BN3" s="30"/>
      <c r="BO3" s="30"/>
      <c r="BP3" s="30"/>
      <c r="BQ3" s="30"/>
      <c r="BR3" s="30"/>
      <c r="BS3" s="30"/>
      <c r="BT3" s="30"/>
      <c r="BY3" s="29">
        <f>BN18</f>
        <v>15</v>
      </c>
    </row>
    <row r="4" spans="2:99" ht="15" customHeight="1" x14ac:dyDescent="0.2">
      <c r="B4" s="5"/>
      <c r="C4" s="5"/>
      <c r="D4" s="5"/>
      <c r="E4" s="5"/>
      <c r="F4" s="509" t="s">
        <v>234</v>
      </c>
      <c r="G4" s="509"/>
      <c r="H4" s="509"/>
      <c r="I4" s="509"/>
      <c r="J4" s="4"/>
      <c r="K4" s="509" t="s">
        <v>235</v>
      </c>
      <c r="L4" s="509"/>
      <c r="M4" s="509"/>
      <c r="N4" s="509"/>
      <c r="O4" s="4"/>
      <c r="T4" s="4"/>
      <c r="U4" s="4"/>
      <c r="V4" s="4"/>
      <c r="W4" s="4"/>
      <c r="X4" s="4"/>
      <c r="Y4" s="4"/>
      <c r="Z4" s="4"/>
      <c r="AA4" s="5"/>
      <c r="AB4" s="5"/>
      <c r="AC4" s="4"/>
      <c r="AD4" s="4"/>
      <c r="AE4" s="42"/>
      <c r="AF4" s="28"/>
      <c r="AH4" s="37" t="s">
        <v>570</v>
      </c>
      <c r="AI4" s="97">
        <f>'2 Inv Input'!G12</f>
        <v>1</v>
      </c>
      <c r="AJ4" s="37">
        <f>IF(AI4="N/A",0,2)</f>
        <v>2</v>
      </c>
      <c r="AK4" s="37">
        <v>0</v>
      </c>
      <c r="AL4" s="586">
        <f>IF(AI4="N/A",0,1)</f>
        <v>1</v>
      </c>
      <c r="AM4" s="37">
        <f>IF('2 Inv Input'!$D$8=2017,$AF$22,$AF$22+33)</f>
        <v>25</v>
      </c>
      <c r="AN4" s="196" t="s">
        <v>86</v>
      </c>
      <c r="AO4" s="37" t="s">
        <v>115</v>
      </c>
      <c r="AP4" s="37" t="s">
        <v>222</v>
      </c>
      <c r="AQ4" s="200">
        <f>IF(AO4="THWN",VLOOKUP(ROUNDUP(AM4,0),$U$8:$Y$83,3,FALSE),VLOOKUP(ROUNDUP(AM4,0),$U$8:$Y$83,4,FALSE))</f>
        <v>1.04</v>
      </c>
      <c r="AR4" s="200">
        <f>IF(AN4="Free Air",1,LOOKUP(AJ4,1/($R$8:$R$14&lt;=AJ4)/($S$8:$S$14&gt;=AJ4),$P$8:$P$14))</f>
        <v>1</v>
      </c>
      <c r="AS4" s="97">
        <f t="shared" ref="AS4:AS11" si="0">$BN$18</f>
        <v>15</v>
      </c>
      <c r="AT4" s="97" t="s">
        <v>88</v>
      </c>
      <c r="AU4" s="200">
        <f>ROUND(AS4*1.25,2)</f>
        <v>18.75</v>
      </c>
      <c r="AV4" s="308">
        <f t="shared" ref="AV4:AV5" si="1">ROUND(AS4/(AQ4*AR4),2)</f>
        <v>14.42</v>
      </c>
      <c r="AW4" s="200">
        <f>AV4</f>
        <v>14.42</v>
      </c>
      <c r="AX4" s="294">
        <f>LOOKUP(AW4,1/($H$7:$H$34&lt;=AW4)/($I$7:$I$34&gt;=AW4),$F$7:$F$34)</f>
        <v>10</v>
      </c>
      <c r="AY4" s="294" t="s">
        <v>51</v>
      </c>
      <c r="AZ4" s="589">
        <f>IF(AN4="Free Air",6,LOOKUP(AW4,1/($C$7:$C$25&lt;=AW4)/($D$7:$D$25&gt;=AW4),$B$7:$B$25))</f>
        <v>6</v>
      </c>
      <c r="BA4" s="249">
        <f>'2 Inv VD'!AH29</f>
        <v>10</v>
      </c>
      <c r="BB4" s="97" t="s">
        <v>51</v>
      </c>
      <c r="BC4" s="592">
        <f>AZ4</f>
        <v>6</v>
      </c>
      <c r="BD4" s="594">
        <f>(AJ4*(VLOOKUP(BA4,$P$27:$S$50,3,FALSE)))+(AL4*(VLOOKUP(BC4,$P$27:$S$50,3,FALSE)))+(AJ5*(VLOOKUP(BA5,$P$27:$S$50,3,FALSE)))+(AJ6*(VLOOKUP(BA6,$P$27:$S$50,3,FALSE)))</f>
        <v>9.290000000000001E-2</v>
      </c>
      <c r="BE4" s="597">
        <f t="shared" ref="BE4:BE14" si="2">IF(BD4&lt;$S$57,$P$57,IF(AND(BD4&gt;$S$57,BD4&lt;$S$58),$P$58,IF(AND(BD4&gt;$S$58,BD4&lt;$S$59),$P$59,IF(AND(BD4&gt;$S$59,BD4&lt;$S$60),$P$60,IF(AND(BD4&gt;$S$60,BD4&lt;$S$61),$P$61,IF(AND(BD4&gt;$S$61,BD4&lt;$S$62),$P$62,IF(AND(BD4&gt;$S$62,BD4&lt;$S$63),$P$63,IF(AND(BD4&gt;$S$63,BD4&lt;$S$64),$P$64,IF(AND(BD4&gt;$S$64,BD4&lt;$S$65),$P$65,IF(AND(BD4&gt;$S$65,BD4&lt;$S$66),$P$66,"Error"))))))))))</f>
        <v>0.75</v>
      </c>
      <c r="BF4" s="97" t="s">
        <v>94</v>
      </c>
      <c r="BG4" s="37">
        <f t="shared" ref="BG4:BG14" si="3">VLOOKUP(BA4,$P$71:$S$100,3,FALSE)</f>
        <v>35</v>
      </c>
      <c r="BH4" s="37">
        <f t="shared" ref="BH4:BH14" si="4">ROUND(BG4*(AQ4*AR4),2)</f>
        <v>36.4</v>
      </c>
      <c r="BI4" s="37">
        <f>IF(BA4=14,15,IF(BA4=12,20,IF(BA4=10,30,"N/A")))</f>
        <v>30</v>
      </c>
      <c r="BK4" s="245" t="s">
        <v>571</v>
      </c>
      <c r="BL4" s="31"/>
      <c r="BM4" s="530" t="s">
        <v>121</v>
      </c>
      <c r="BN4" s="531"/>
      <c r="BO4" s="532"/>
      <c r="BP4" s="31"/>
      <c r="BQ4" s="530" t="s">
        <v>122</v>
      </c>
      <c r="BR4" s="531"/>
      <c r="BS4" s="532"/>
      <c r="BT4" s="31"/>
      <c r="BU4" s="530" t="s">
        <v>122</v>
      </c>
      <c r="BV4" s="531"/>
      <c r="BW4" s="532"/>
      <c r="BX4" s="284"/>
      <c r="BY4" s="201"/>
      <c r="CU4" s="5"/>
    </row>
    <row r="5" spans="2:99" ht="15" customHeight="1" x14ac:dyDescent="0.2">
      <c r="B5" s="446" t="s">
        <v>13</v>
      </c>
      <c r="C5" s="446"/>
      <c r="D5" s="446"/>
      <c r="E5" s="5"/>
      <c r="F5" s="482"/>
      <c r="G5" s="482"/>
      <c r="H5" s="482"/>
      <c r="I5" s="482"/>
      <c r="J5" s="4"/>
      <c r="K5" s="482"/>
      <c r="L5" s="482"/>
      <c r="M5" s="482"/>
      <c r="N5" s="482"/>
      <c r="O5" s="4"/>
      <c r="P5" s="482" t="s">
        <v>21</v>
      </c>
      <c r="Q5" s="482"/>
      <c r="R5" s="482"/>
      <c r="S5" s="482"/>
      <c r="T5" s="4"/>
      <c r="U5" s="398" t="s">
        <v>44</v>
      </c>
      <c r="V5" s="400"/>
      <c r="W5" s="400"/>
      <c r="X5" s="400"/>
      <c r="Y5" s="399"/>
      <c r="Z5" s="4"/>
      <c r="AA5" s="483" t="s">
        <v>66</v>
      </c>
      <c r="AB5" s="483"/>
      <c r="AC5" s="483"/>
      <c r="AD5" s="4"/>
      <c r="AE5" s="495" t="s">
        <v>95</v>
      </c>
      <c r="AF5" s="496"/>
      <c r="AH5" s="37" t="s">
        <v>573</v>
      </c>
      <c r="AI5" s="97" t="str">
        <f>'2 Inv Input'!G13</f>
        <v>N/A</v>
      </c>
      <c r="AJ5" s="37">
        <f t="shared" ref="AJ5:AJ9" si="5">IF(AI5="N/A",0,2)</f>
        <v>0</v>
      </c>
      <c r="AK5" s="37">
        <v>0</v>
      </c>
      <c r="AL5" s="587"/>
      <c r="AM5" s="37">
        <f>IF('2 Inv Input'!$D$8=2017,$AF$22,$AF$22+33)</f>
        <v>25</v>
      </c>
      <c r="AN5" s="196" t="s">
        <v>86</v>
      </c>
      <c r="AO5" s="37" t="s">
        <v>115</v>
      </c>
      <c r="AP5" s="37" t="s">
        <v>222</v>
      </c>
      <c r="AQ5" s="200">
        <f>IF(AO5="THWN",VLOOKUP(ROUNDUP(AM5,0),$U$8:$Y$83,3,FALSE),VLOOKUP(ROUNDUP(AM5,0),$U$8:$Y$83,4,FALSE))</f>
        <v>1.04</v>
      </c>
      <c r="AR5" s="200">
        <f t="shared" ref="AR5:AR14" si="6">IF(AN5="Free Air",1,LOOKUP(AJ5,1/($R$8:$R$14&lt;=AJ5)/($S$8:$S$14&gt;=AJ5),$P$8:$P$14))</f>
        <v>1</v>
      </c>
      <c r="AS5" s="97">
        <f t="shared" si="0"/>
        <v>15</v>
      </c>
      <c r="AT5" s="97" t="s">
        <v>88</v>
      </c>
      <c r="AU5" s="200">
        <f t="shared" ref="AU5" si="7">ROUND(AS5*1.25,2)</f>
        <v>18.75</v>
      </c>
      <c r="AV5" s="308">
        <f t="shared" si="1"/>
        <v>14.42</v>
      </c>
      <c r="AW5" s="200">
        <f t="shared" ref="AW5:AW11" si="8">AV5</f>
        <v>14.42</v>
      </c>
      <c r="AX5" s="294">
        <f t="shared" ref="AX5:AX14" si="9">LOOKUP(AW5,1/($H$7:$H$34&lt;=AW5)/($I$7:$I$34&gt;=AW5),$F$7:$F$34)</f>
        <v>10</v>
      </c>
      <c r="AY5" s="294" t="s">
        <v>51</v>
      </c>
      <c r="AZ5" s="590"/>
      <c r="BA5" s="249">
        <f>'2 Inv VD'!AH30</f>
        <v>10</v>
      </c>
      <c r="BB5" s="97" t="s">
        <v>51</v>
      </c>
      <c r="BC5" s="457"/>
      <c r="BD5" s="595"/>
      <c r="BE5" s="457"/>
      <c r="BF5" s="97" t="s">
        <v>94</v>
      </c>
      <c r="BG5" s="37">
        <f t="shared" si="3"/>
        <v>35</v>
      </c>
      <c r="BH5" s="37">
        <f t="shared" si="4"/>
        <v>36.4</v>
      </c>
      <c r="BI5" s="37">
        <f t="shared" ref="BI5:BI14" si="10">IF(BA5=14,15,IF(BA5=12,20,IF(BA5=10,30,"N/A")))</f>
        <v>30</v>
      </c>
      <c r="BK5" s="245" t="s">
        <v>574</v>
      </c>
      <c r="BL5" s="31"/>
      <c r="BM5" s="527" t="s">
        <v>123</v>
      </c>
      <c r="BN5" s="528"/>
      <c r="BO5" s="529"/>
      <c r="BP5" s="31"/>
      <c r="BQ5" s="527" t="s">
        <v>124</v>
      </c>
      <c r="BR5" s="528"/>
      <c r="BS5" s="529"/>
      <c r="BT5" s="31"/>
      <c r="BU5" s="527" t="s">
        <v>124</v>
      </c>
      <c r="BV5" s="528"/>
      <c r="BW5" s="529"/>
      <c r="BY5" s="5"/>
      <c r="CU5" s="5"/>
    </row>
    <row r="6" spans="2:99" ht="15" customHeight="1" x14ac:dyDescent="0.2">
      <c r="B6" s="57" t="s">
        <v>14</v>
      </c>
      <c r="C6" s="37" t="s">
        <v>54</v>
      </c>
      <c r="D6" s="37" t="s">
        <v>90</v>
      </c>
      <c r="E6" s="5"/>
      <c r="F6" s="471" t="s">
        <v>18</v>
      </c>
      <c r="G6" s="471"/>
      <c r="H6" s="14" t="s">
        <v>91</v>
      </c>
      <c r="I6" s="14" t="s">
        <v>90</v>
      </c>
      <c r="J6" s="2"/>
      <c r="K6" s="471" t="s">
        <v>18</v>
      </c>
      <c r="L6" s="471"/>
      <c r="M6" s="14" t="s">
        <v>91</v>
      </c>
      <c r="N6" s="14" t="s">
        <v>90</v>
      </c>
      <c r="O6" s="2"/>
      <c r="P6" s="482"/>
      <c r="Q6" s="482"/>
      <c r="R6" s="482"/>
      <c r="S6" s="482"/>
      <c r="T6" s="2"/>
      <c r="U6" s="540" t="s">
        <v>45</v>
      </c>
      <c r="V6" s="542" t="s">
        <v>46</v>
      </c>
      <c r="W6" s="543"/>
      <c r="X6" s="544"/>
      <c r="Y6" s="540" t="s">
        <v>47</v>
      </c>
      <c r="Z6" s="2"/>
      <c r="AA6" s="483"/>
      <c r="AB6" s="483"/>
      <c r="AC6" s="483"/>
      <c r="AD6" s="2"/>
      <c r="AE6" s="495"/>
      <c r="AF6" s="496"/>
      <c r="AH6" s="37" t="s">
        <v>575</v>
      </c>
      <c r="AI6" s="97" t="str">
        <f>'2 Inv Input'!G14</f>
        <v>N/A</v>
      </c>
      <c r="AJ6" s="37">
        <f t="shared" si="5"/>
        <v>0</v>
      </c>
      <c r="AK6" s="37">
        <v>0</v>
      </c>
      <c r="AL6" s="588"/>
      <c r="AM6" s="37">
        <f>IF('2 Inv Input'!$D$8=2017,$AF$22,$AF$22+33)</f>
        <v>25</v>
      </c>
      <c r="AN6" s="196" t="s">
        <v>86</v>
      </c>
      <c r="AO6" s="37" t="s">
        <v>115</v>
      </c>
      <c r="AP6" s="37" t="s">
        <v>222</v>
      </c>
      <c r="AQ6" s="200">
        <f>IF(AO6="THWN",VLOOKUP(ROUNDUP(AM6,0),$U$8:$Y$83,3,FALSE),VLOOKUP(ROUNDUP(AM6,0),$U$8:$Y$83,4,FALSE))</f>
        <v>1.04</v>
      </c>
      <c r="AR6" s="200">
        <f t="shared" si="6"/>
        <v>1</v>
      </c>
      <c r="AS6" s="97">
        <f t="shared" si="0"/>
        <v>15</v>
      </c>
      <c r="AT6" s="97" t="s">
        <v>88</v>
      </c>
      <c r="AU6" s="200">
        <f t="shared" ref="AU6:AU14" si="11">ROUND(AS6*1.25,2)</f>
        <v>18.75</v>
      </c>
      <c r="AV6" s="200">
        <f t="shared" ref="AV6:AV14" si="12">ROUND(AS6/(AQ6*AR6),2)</f>
        <v>14.42</v>
      </c>
      <c r="AW6" s="200">
        <f t="shared" si="8"/>
        <v>14.42</v>
      </c>
      <c r="AX6" s="294">
        <f t="shared" si="9"/>
        <v>10</v>
      </c>
      <c r="AY6" s="294" t="s">
        <v>51</v>
      </c>
      <c r="AZ6" s="591"/>
      <c r="BA6" s="249">
        <f>'2 Inv VD'!AH31</f>
        <v>10</v>
      </c>
      <c r="BB6" s="97" t="s">
        <v>51</v>
      </c>
      <c r="BC6" s="593"/>
      <c r="BD6" s="596"/>
      <c r="BE6" s="593"/>
      <c r="BF6" s="97" t="s">
        <v>94</v>
      </c>
      <c r="BG6" s="37">
        <f t="shared" si="3"/>
        <v>35</v>
      </c>
      <c r="BH6" s="37">
        <f t="shared" si="4"/>
        <v>36.4</v>
      </c>
      <c r="BI6" s="37">
        <f t="shared" si="10"/>
        <v>30</v>
      </c>
      <c r="BK6" s="245" t="s">
        <v>576</v>
      </c>
      <c r="BL6" s="32"/>
      <c r="BM6" s="33" t="s">
        <v>125</v>
      </c>
      <c r="BN6" s="60" t="str">
        <f>'2 Inv Input'!D19</f>
        <v>P320</v>
      </c>
      <c r="BO6" s="93" t="s">
        <v>126</v>
      </c>
      <c r="BP6" s="32"/>
      <c r="BQ6" s="33" t="s">
        <v>127</v>
      </c>
      <c r="BR6" s="60" t="str">
        <f>'2 Inv Input'!G15</f>
        <v>SE3000H-US</v>
      </c>
      <c r="BS6" s="93" t="s">
        <v>126</v>
      </c>
      <c r="BT6" s="32"/>
      <c r="BU6" s="33" t="s">
        <v>127</v>
      </c>
      <c r="BV6" s="60" t="str">
        <f>'2 Inv Input'!G25</f>
        <v>SE3000H-US</v>
      </c>
      <c r="BW6" s="93" t="s">
        <v>126</v>
      </c>
      <c r="CU6" s="5"/>
    </row>
    <row r="7" spans="2:99" ht="15" customHeight="1" x14ac:dyDescent="0.2">
      <c r="B7" s="252">
        <v>10</v>
      </c>
      <c r="C7" s="99">
        <v>1</v>
      </c>
      <c r="D7" s="99">
        <v>15</v>
      </c>
      <c r="E7" s="5"/>
      <c r="F7" s="510">
        <v>10</v>
      </c>
      <c r="G7" s="511"/>
      <c r="H7" s="15">
        <v>1</v>
      </c>
      <c r="I7" s="99">
        <v>20</v>
      </c>
      <c r="J7" s="5"/>
      <c r="K7" s="510">
        <v>10</v>
      </c>
      <c r="L7" s="511"/>
      <c r="M7" s="15">
        <v>1</v>
      </c>
      <c r="N7" s="99">
        <v>30</v>
      </c>
      <c r="O7" s="5"/>
      <c r="P7" s="471" t="s">
        <v>22</v>
      </c>
      <c r="Q7" s="471"/>
      <c r="R7" s="57" t="s">
        <v>54</v>
      </c>
      <c r="S7" s="57" t="s">
        <v>90</v>
      </c>
      <c r="T7" s="5"/>
      <c r="U7" s="541"/>
      <c r="V7" s="57" t="s">
        <v>48</v>
      </c>
      <c r="W7" s="57" t="s">
        <v>49</v>
      </c>
      <c r="X7" s="57" t="s">
        <v>50</v>
      </c>
      <c r="Y7" s="541"/>
      <c r="Z7" s="5"/>
      <c r="AA7" s="254" t="s">
        <v>67</v>
      </c>
      <c r="AB7" s="254" t="s">
        <v>54</v>
      </c>
      <c r="AC7" s="46" t="s">
        <v>90</v>
      </c>
      <c r="AD7" s="5"/>
      <c r="AE7" s="514" t="s">
        <v>96</v>
      </c>
      <c r="AF7" s="515"/>
      <c r="AH7" s="37" t="s">
        <v>577</v>
      </c>
      <c r="AI7" s="97">
        <f>'2 Inv Input'!G22</f>
        <v>1</v>
      </c>
      <c r="AJ7" s="37">
        <f t="shared" si="5"/>
        <v>2</v>
      </c>
      <c r="AK7" s="37">
        <v>0</v>
      </c>
      <c r="AL7" s="586">
        <f t="shared" ref="AL7" si="13">IF(AI7="N/A",0,1)</f>
        <v>1</v>
      </c>
      <c r="AM7" s="37">
        <f>IF('2 Inv Input'!$D$8=2017,$AF$22,$AF$22+33)</f>
        <v>25</v>
      </c>
      <c r="AN7" s="196" t="s">
        <v>86</v>
      </c>
      <c r="AO7" s="37" t="s">
        <v>115</v>
      </c>
      <c r="AP7" s="37" t="s">
        <v>222</v>
      </c>
      <c r="AQ7" s="200">
        <f>IF(AO7="THWN",VLOOKUP(ROUNDUP(AM7,0),$U$8:$Y$83,3,FALSE),VLOOKUP(ROUNDUP(AM7,0),$U$8:$Y$83,4,FALSE))</f>
        <v>1.04</v>
      </c>
      <c r="AR7" s="200">
        <f t="shared" si="6"/>
        <v>1</v>
      </c>
      <c r="AS7" s="97">
        <f t="shared" si="0"/>
        <v>15</v>
      </c>
      <c r="AT7" s="97" t="s">
        <v>88</v>
      </c>
      <c r="AU7" s="200">
        <f t="shared" si="11"/>
        <v>18.75</v>
      </c>
      <c r="AV7" s="200">
        <f t="shared" si="12"/>
        <v>14.42</v>
      </c>
      <c r="AW7" s="200">
        <f t="shared" si="8"/>
        <v>14.42</v>
      </c>
      <c r="AX7" s="294">
        <f t="shared" si="9"/>
        <v>10</v>
      </c>
      <c r="AY7" s="294" t="s">
        <v>51</v>
      </c>
      <c r="AZ7" s="589">
        <f>IF(AN7="Free Air",6,LOOKUP(AW7,1/($C$7:$C$25&lt;=AW7)/($D$7:$D$25&gt;=AW7),$B$7:$B$25))</f>
        <v>6</v>
      </c>
      <c r="BA7" s="249">
        <f>'2 Inv VD'!AH32</f>
        <v>10</v>
      </c>
      <c r="BB7" s="97" t="s">
        <v>51</v>
      </c>
      <c r="BC7" s="592">
        <f>AZ7</f>
        <v>6</v>
      </c>
      <c r="BD7" s="594">
        <f>(AJ7*(VLOOKUP(BA7,$P$27:$S$50,3,FALSE)))+(AL7*(VLOOKUP(BC7,$P$27:$S$50,3,FALSE)))+(AJ8*(VLOOKUP(BA8,$P$27:$S$50,3,FALSE)))+(AJ9*(VLOOKUP(BA9,$P$27:$S$50,3,FALSE)))</f>
        <v>9.290000000000001E-2</v>
      </c>
      <c r="BE7" s="597">
        <f t="shared" si="2"/>
        <v>0.75</v>
      </c>
      <c r="BF7" s="97" t="s">
        <v>94</v>
      </c>
      <c r="BG7" s="37">
        <f t="shared" si="3"/>
        <v>35</v>
      </c>
      <c r="BH7" s="37">
        <f t="shared" si="4"/>
        <v>36.4</v>
      </c>
      <c r="BI7" s="37">
        <f t="shared" si="10"/>
        <v>30</v>
      </c>
      <c r="BK7" s="246" t="s">
        <v>578</v>
      </c>
      <c r="BM7" s="453" t="s">
        <v>128</v>
      </c>
      <c r="BN7" s="454"/>
      <c r="BO7" s="455"/>
      <c r="BQ7" s="453" t="s">
        <v>128</v>
      </c>
      <c r="BR7" s="454"/>
      <c r="BS7" s="455"/>
      <c r="BU7" s="453" t="s">
        <v>128</v>
      </c>
      <c r="BV7" s="454"/>
      <c r="BW7" s="455"/>
      <c r="BY7" s="93" t="s">
        <v>191</v>
      </c>
      <c r="BZ7" s="93" t="s">
        <v>203</v>
      </c>
      <c r="CU7" s="5"/>
    </row>
    <row r="8" spans="2:99" ht="15" customHeight="1" x14ac:dyDescent="0.2">
      <c r="B8" s="253">
        <v>10</v>
      </c>
      <c r="C8" s="91">
        <v>15.000999999999999</v>
      </c>
      <c r="D8" s="91">
        <v>20</v>
      </c>
      <c r="E8" s="5"/>
      <c r="F8" s="516">
        <v>10</v>
      </c>
      <c r="G8" s="517"/>
      <c r="H8" s="16">
        <f>I7+0.001</f>
        <v>20.001000000000001</v>
      </c>
      <c r="I8" s="91">
        <v>25</v>
      </c>
      <c r="J8" s="5"/>
      <c r="K8" s="516">
        <v>10</v>
      </c>
      <c r="L8" s="517"/>
      <c r="M8" s="16">
        <f>N7+0.001</f>
        <v>30.001000000000001</v>
      </c>
      <c r="N8" s="91">
        <v>35</v>
      </c>
      <c r="O8" s="5"/>
      <c r="P8" s="518">
        <v>1</v>
      </c>
      <c r="Q8" s="519"/>
      <c r="R8" s="201">
        <v>1</v>
      </c>
      <c r="S8" s="15">
        <v>3</v>
      </c>
      <c r="T8" s="5"/>
      <c r="U8" s="15">
        <v>10</v>
      </c>
      <c r="V8" s="7">
        <v>1.29</v>
      </c>
      <c r="W8" s="8">
        <v>1.2</v>
      </c>
      <c r="X8" s="7">
        <v>1.1499999999999999</v>
      </c>
      <c r="Y8" s="15">
        <f>(U8*1.8)+32</f>
        <v>50</v>
      </c>
      <c r="Z8" s="5"/>
      <c r="AA8" s="15">
        <v>15</v>
      </c>
      <c r="AB8" s="15">
        <v>1</v>
      </c>
      <c r="AC8" s="99">
        <v>15</v>
      </c>
      <c r="AD8" s="5"/>
      <c r="AE8" s="514"/>
      <c r="AF8" s="515"/>
      <c r="AH8" s="37" t="s">
        <v>579</v>
      </c>
      <c r="AI8" s="97" t="str">
        <f>'2 Inv Input'!G23</f>
        <v>N/A</v>
      </c>
      <c r="AJ8" s="37">
        <f t="shared" si="5"/>
        <v>0</v>
      </c>
      <c r="AK8" s="37">
        <v>0</v>
      </c>
      <c r="AL8" s="587"/>
      <c r="AM8" s="37">
        <f>IF('2 Inv Input'!$D$8=2017,$AF$22,$AF$22+33)</f>
        <v>25</v>
      </c>
      <c r="AN8" s="196" t="s">
        <v>86</v>
      </c>
      <c r="AO8" s="37" t="s">
        <v>115</v>
      </c>
      <c r="AP8" s="37" t="s">
        <v>222</v>
      </c>
      <c r="AQ8" s="200">
        <f>IF(AO8="THWN",VLOOKUP(ROUNDUP(AM8,0),$U$8:$Y$83,3,FALSE),VLOOKUP(ROUNDUP(AM8,0),$U$8:$Y$83,4,FALSE))</f>
        <v>1.04</v>
      </c>
      <c r="AR8" s="200">
        <f t="shared" si="6"/>
        <v>1</v>
      </c>
      <c r="AS8" s="97">
        <f t="shared" si="0"/>
        <v>15</v>
      </c>
      <c r="AT8" s="97" t="s">
        <v>88</v>
      </c>
      <c r="AU8" s="200">
        <f t="shared" si="11"/>
        <v>18.75</v>
      </c>
      <c r="AV8" s="200">
        <f t="shared" si="12"/>
        <v>14.42</v>
      </c>
      <c r="AW8" s="200">
        <f t="shared" si="8"/>
        <v>14.42</v>
      </c>
      <c r="AX8" s="294">
        <f t="shared" si="9"/>
        <v>10</v>
      </c>
      <c r="AY8" s="294" t="s">
        <v>51</v>
      </c>
      <c r="AZ8" s="590"/>
      <c r="BA8" s="249">
        <f>'2 Inv VD'!AH33</f>
        <v>10</v>
      </c>
      <c r="BB8" s="97" t="s">
        <v>51</v>
      </c>
      <c r="BC8" s="457"/>
      <c r="BD8" s="595"/>
      <c r="BE8" s="457"/>
      <c r="BF8" s="97" t="s">
        <v>94</v>
      </c>
      <c r="BG8" s="37">
        <f t="shared" si="3"/>
        <v>35</v>
      </c>
      <c r="BH8" s="37">
        <f t="shared" si="4"/>
        <v>36.4</v>
      </c>
      <c r="BI8" s="37">
        <f t="shared" si="10"/>
        <v>30</v>
      </c>
      <c r="BK8" s="246" t="s">
        <v>580</v>
      </c>
      <c r="BM8" s="34" t="s">
        <v>129</v>
      </c>
      <c r="BN8" s="94">
        <f>IF(BN6="P300",300,IF(BN6="P320",320,IF(BN6="P370",370,IF(BN6="P400",400,IF(BN6="P405",405,IF(BN6="P505",505,))))))</f>
        <v>320</v>
      </c>
      <c r="BO8" s="101" t="s">
        <v>130</v>
      </c>
      <c r="BQ8" s="34" t="s">
        <v>131</v>
      </c>
      <c r="BR8" s="94">
        <f>IF(BR6="SE3000H-US",4650,IF(BR6="SE3800H-US",5900,IF(BR6="SE5000H-US",7750,IF(BR6="SE6000H-US",9300,IF(BR6="SE7600H-US",11800,IF(BR6="SE3000A-US",4050,IF(BR6="SE3800A-US",5100,IF(BR6="SE5000A-US",6750,IF(BR6="SE6000A-US",8100,IF(BR6="SE7600A-US",10250,IF(BR6="SE10000A-US",13500,IF(BR6="SE11400A-US",15350,IF(BR6="SE10000H-US",15500,IF(BR6="SE11400H-US","17650",))))))))))))))</f>
        <v>4650</v>
      </c>
      <c r="BS8" s="101" t="s">
        <v>130</v>
      </c>
      <c r="BU8" s="34" t="s">
        <v>131</v>
      </c>
      <c r="BV8" s="94">
        <f>IF(BV6="SE3000H-US",4650,IF(BV6="SE3800H-US",5900,IF(BV6="SE5000H-US",7750,IF(BV6="SE6000H-US",9300,IF(BV6="SE7600H-US",11800,IF(BV6="SE3000A-US",4050,IF(BV6="SE3800A-US",5100,IF(BV6="SE5000A-US",6750,IF(BV6="SE6000A-US",8100,IF(BV6="SE7600A-US",10250,IF(BV6="SE10000A-US",13500,IF(BV6="SE11400A-US",15350,IF(BV6="SE10000H-US",15500,IF(BV6="SE11400H-US","17650",))))))))))))))</f>
        <v>4650</v>
      </c>
      <c r="BW8" s="101" t="s">
        <v>130</v>
      </c>
      <c r="BY8" s="29">
        <f>BR19</f>
        <v>12.5</v>
      </c>
      <c r="BZ8" s="29">
        <f>BY8*1.25</f>
        <v>15.625</v>
      </c>
      <c r="CU8" s="5"/>
    </row>
    <row r="9" spans="2:99" ht="15" customHeight="1" x14ac:dyDescent="0.2">
      <c r="B9" s="16">
        <v>10</v>
      </c>
      <c r="C9" s="91">
        <v>20.001000000000001</v>
      </c>
      <c r="D9" s="91">
        <v>60</v>
      </c>
      <c r="E9" s="5"/>
      <c r="F9" s="462">
        <v>10</v>
      </c>
      <c r="G9" s="451"/>
      <c r="H9" s="16">
        <f t="shared" ref="H9:H34" si="14">I8+0.001</f>
        <v>25.001000000000001</v>
      </c>
      <c r="I9" s="91">
        <v>35</v>
      </c>
      <c r="J9" s="5"/>
      <c r="K9" s="462">
        <v>10</v>
      </c>
      <c r="L9" s="451"/>
      <c r="M9" s="16">
        <f t="shared" ref="M9:M34" si="15">N8+0.001</f>
        <v>35.000999999999998</v>
      </c>
      <c r="N9" s="91">
        <v>50</v>
      </c>
      <c r="O9" s="5"/>
      <c r="P9" s="499">
        <v>0.8</v>
      </c>
      <c r="Q9" s="500"/>
      <c r="R9" s="5">
        <v>4</v>
      </c>
      <c r="S9" s="16">
        <v>6</v>
      </c>
      <c r="T9" s="5"/>
      <c r="U9" s="16">
        <f>U8+1</f>
        <v>11</v>
      </c>
      <c r="V9" s="9">
        <v>1.22</v>
      </c>
      <c r="W9" s="10">
        <v>1.1499999999999999</v>
      </c>
      <c r="X9" s="9">
        <v>1.1200000000000001</v>
      </c>
      <c r="Y9" s="16">
        <f t="shared" ref="Y9:Y72" si="16">(U9*1.8)+32</f>
        <v>51.8</v>
      </c>
      <c r="Z9" s="5"/>
      <c r="AA9" s="16">
        <v>20</v>
      </c>
      <c r="AB9" s="16">
        <f>AC8+0.001</f>
        <v>15.000999999999999</v>
      </c>
      <c r="AC9" s="91">
        <f>AA9</f>
        <v>20</v>
      </c>
      <c r="AD9" s="5"/>
      <c r="AE9" s="514"/>
      <c r="AF9" s="515"/>
      <c r="AH9" s="37" t="s">
        <v>583</v>
      </c>
      <c r="AI9" s="97" t="str">
        <f>'2 Inv Input'!G24</f>
        <v>N/A</v>
      </c>
      <c r="AJ9" s="37">
        <f t="shared" si="5"/>
        <v>0</v>
      </c>
      <c r="AK9" s="37">
        <v>0</v>
      </c>
      <c r="AL9" s="588"/>
      <c r="AM9" s="37">
        <f>IF('2 Inv Input'!$D$8=2017,$AF$22,$AF$22+33)</f>
        <v>25</v>
      </c>
      <c r="AN9" s="196" t="s">
        <v>86</v>
      </c>
      <c r="AO9" s="37" t="s">
        <v>115</v>
      </c>
      <c r="AP9" s="37" t="s">
        <v>222</v>
      </c>
      <c r="AQ9" s="200">
        <f t="shared" ref="AQ9:AQ14" si="17">IF(AP9="THWN",VLOOKUP(ROUNDUP(AM9,0),$U$8:$Y$83,3,FALSE),VLOOKUP(ROUNDUP(AM9,0),$U$8:$Y$83,4,FALSE))</f>
        <v>1.04</v>
      </c>
      <c r="AR9" s="200">
        <f t="shared" si="6"/>
        <v>1</v>
      </c>
      <c r="AS9" s="97">
        <f t="shared" si="0"/>
        <v>15</v>
      </c>
      <c r="AT9" s="97" t="s">
        <v>88</v>
      </c>
      <c r="AU9" s="200">
        <f t="shared" si="11"/>
        <v>18.75</v>
      </c>
      <c r="AV9" s="200">
        <f t="shared" si="12"/>
        <v>14.42</v>
      </c>
      <c r="AW9" s="200">
        <f t="shared" si="8"/>
        <v>14.42</v>
      </c>
      <c r="AX9" s="294">
        <f t="shared" si="9"/>
        <v>10</v>
      </c>
      <c r="AY9" s="294" t="s">
        <v>51</v>
      </c>
      <c r="AZ9" s="591"/>
      <c r="BA9" s="249">
        <f>'2 Inv VD'!AH34</f>
        <v>10</v>
      </c>
      <c r="BB9" s="97" t="s">
        <v>51</v>
      </c>
      <c r="BC9" s="593"/>
      <c r="BD9" s="596"/>
      <c r="BE9" s="593"/>
      <c r="BF9" s="97" t="s">
        <v>94</v>
      </c>
      <c r="BG9" s="37">
        <f t="shared" si="3"/>
        <v>35</v>
      </c>
      <c r="BH9" s="37">
        <f t="shared" si="4"/>
        <v>36.4</v>
      </c>
      <c r="BI9" s="37">
        <f t="shared" si="10"/>
        <v>30</v>
      </c>
      <c r="BK9" s="245" t="s">
        <v>578</v>
      </c>
      <c r="BM9" s="456" t="s">
        <v>132</v>
      </c>
      <c r="BN9" s="457">
        <f>IF(BN6="P300",48,IF(BN6="P320",48,IF(BN6="P370",60,IF(BN6="P400",80,IF(BN6="P405",125,IF(BN6="P505",83,))))))</f>
        <v>48</v>
      </c>
      <c r="BO9" s="457" t="s">
        <v>133</v>
      </c>
      <c r="BQ9" s="35" t="s">
        <v>134</v>
      </c>
      <c r="BR9" s="94">
        <f>IF(BR6="SE3000H-US",480,IF(BR6="SE3800H-US",480,IF(BR6="SE5000H-US",480,IF(BR6="SE6000H-US",480,IF(BR6="SE7600H-US",480,IF(BR6="SE3000A-US",500,IF(BR6="SE3800A-US",500,IF(BR6="SE5000A-US",500,IF(BR6="SE6000A-US",500,IF(BR6="SE7600A-US",500,IF(BR6="SE10000A-US",500,IF(BR6="SE11400A-US",500,IF(BR6="SE10000H-US",480,IF(BR6="SE11400H-US","480",))))))))))))))</f>
        <v>480</v>
      </c>
      <c r="BS9" s="36" t="s">
        <v>133</v>
      </c>
      <c r="BU9" s="35" t="s">
        <v>134</v>
      </c>
      <c r="BV9" s="94">
        <f>IF(BV6="SE3000H-US",480,IF(BV6="SE3800H-US",480,IF(BV6="SE5000H-US",480,IF(BV6="SE6000H-US",480,IF(BV6="SE7600H-US",480,IF(BV6="SE3000A-US",500,IF(BV6="SE3800A-US",500,IF(BV6="SE5000A-US",500,IF(BV6="SE6000A-US",500,IF(BV6="SE7600A-US",500,IF(BV6="SE10000A-US",500,IF(BV6="SE11400A-US",500,IF(BV6="SE10000H-US",480,IF(BV6="SE11400H-US","480",))))))))))))))</f>
        <v>480</v>
      </c>
      <c r="BW9" s="36" t="s">
        <v>133</v>
      </c>
      <c r="BY9" s="29">
        <f>BV19</f>
        <v>12.5</v>
      </c>
      <c r="BZ9" s="29">
        <f>BY9*1.25</f>
        <v>15.625</v>
      </c>
      <c r="CU9" s="5"/>
    </row>
    <row r="10" spans="2:99" ht="15" customHeight="1" x14ac:dyDescent="0.2">
      <c r="B10" s="16">
        <v>8</v>
      </c>
      <c r="C10" s="91">
        <v>60.000999999999998</v>
      </c>
      <c r="D10" s="91">
        <v>100</v>
      </c>
      <c r="E10" s="5"/>
      <c r="F10" s="462">
        <v>8</v>
      </c>
      <c r="G10" s="451"/>
      <c r="H10" s="16">
        <f t="shared" si="14"/>
        <v>35.000999999999998</v>
      </c>
      <c r="I10" s="91">
        <v>50</v>
      </c>
      <c r="J10" s="5"/>
      <c r="K10" s="462">
        <v>8</v>
      </c>
      <c r="L10" s="451"/>
      <c r="M10" s="16">
        <f t="shared" si="15"/>
        <v>50.000999999999998</v>
      </c>
      <c r="N10" s="91">
        <v>70</v>
      </c>
      <c r="O10" s="5"/>
      <c r="P10" s="499">
        <v>0.7</v>
      </c>
      <c r="Q10" s="500"/>
      <c r="R10" s="5">
        <v>7</v>
      </c>
      <c r="S10" s="16">
        <v>9</v>
      </c>
      <c r="T10" s="5"/>
      <c r="U10" s="16">
        <f t="shared" ref="U10:U73" si="18">U9+1</f>
        <v>12</v>
      </c>
      <c r="V10" s="9">
        <v>1.22</v>
      </c>
      <c r="W10" s="10">
        <v>1.1499999999999999</v>
      </c>
      <c r="X10" s="9">
        <v>1.1200000000000001</v>
      </c>
      <c r="Y10" s="16">
        <f t="shared" si="16"/>
        <v>53.6</v>
      </c>
      <c r="Z10" s="5"/>
      <c r="AA10" s="16">
        <v>25</v>
      </c>
      <c r="AB10" s="16">
        <f t="shared" ref="AB10:AB44" si="19">AC9+0.001</f>
        <v>20.001000000000001</v>
      </c>
      <c r="AC10" s="91">
        <f t="shared" ref="AC10:AC44" si="20">AA10</f>
        <v>25</v>
      </c>
      <c r="AD10" s="5"/>
      <c r="AE10" s="514"/>
      <c r="AF10" s="515"/>
      <c r="AH10" s="37" t="s">
        <v>584</v>
      </c>
      <c r="AI10" s="37" t="s">
        <v>51</v>
      </c>
      <c r="AJ10" s="37">
        <f>SUM(AJ4:AJ6)</f>
        <v>2</v>
      </c>
      <c r="AK10" s="37">
        <v>0</v>
      </c>
      <c r="AL10" s="37">
        <v>1</v>
      </c>
      <c r="AM10" s="37">
        <f>IF('2 Inv Input'!$D$8=2017,$AF$22,$AF$22+33)</f>
        <v>25</v>
      </c>
      <c r="AN10" s="196" t="s">
        <v>87</v>
      </c>
      <c r="AO10" s="37" t="s">
        <v>60</v>
      </c>
      <c r="AP10" s="37" t="s">
        <v>60</v>
      </c>
      <c r="AQ10" s="200">
        <f t="shared" si="17"/>
        <v>1.04</v>
      </c>
      <c r="AR10" s="200">
        <f t="shared" si="6"/>
        <v>1</v>
      </c>
      <c r="AS10" s="97">
        <f t="shared" si="0"/>
        <v>15</v>
      </c>
      <c r="AT10" s="97" t="s">
        <v>88</v>
      </c>
      <c r="AU10" s="200">
        <f t="shared" si="11"/>
        <v>18.75</v>
      </c>
      <c r="AV10" s="200">
        <f t="shared" si="12"/>
        <v>14.42</v>
      </c>
      <c r="AW10" s="200">
        <f t="shared" si="8"/>
        <v>14.42</v>
      </c>
      <c r="AX10" s="294">
        <f t="shared" si="9"/>
        <v>10</v>
      </c>
      <c r="AY10" s="294" t="s">
        <v>51</v>
      </c>
      <c r="AZ10" s="294">
        <f>LOOKUP(AW10,1/($C$7:$C$25&lt;=AW10)/($D$7:$D$25&gt;=AW10),$B$7:$B$25)</f>
        <v>10</v>
      </c>
      <c r="BA10" s="249">
        <f>'2 Inv VD'!AH35</f>
        <v>10</v>
      </c>
      <c r="BB10" s="97" t="s">
        <v>51</v>
      </c>
      <c r="BC10" s="249">
        <f>AZ10</f>
        <v>10</v>
      </c>
      <c r="BD10" s="290">
        <f>(AJ10*(VLOOKUP(BA10,$P$27:$S$50,3,FALSE)))+(AL10*(VLOOKUP(BC10,$P$27:$S$50,3,FALSE)))</f>
        <v>6.3299999999999995E-2</v>
      </c>
      <c r="BE10" s="97">
        <f t="shared" si="2"/>
        <v>0.75</v>
      </c>
      <c r="BF10" s="97" t="s">
        <v>94</v>
      </c>
      <c r="BG10" s="37">
        <f t="shared" si="3"/>
        <v>35</v>
      </c>
      <c r="BH10" s="37">
        <f t="shared" si="4"/>
        <v>36.4</v>
      </c>
      <c r="BI10" s="37">
        <f t="shared" si="10"/>
        <v>30</v>
      </c>
      <c r="BK10" s="245" t="s">
        <v>585</v>
      </c>
      <c r="BM10" s="456"/>
      <c r="BN10" s="457"/>
      <c r="BO10" s="457"/>
      <c r="BQ10" s="38" t="s">
        <v>136</v>
      </c>
      <c r="BR10" s="39">
        <f>IF(BR6="SE3000H-US",380,IF(BR6="SE3800H-US",380,IF(BR6="SE5000H-US",380,IF(BR6="SE6000H-US",380,IF(BR6="SE7600H-US",400,IF(BR6="SE3000A-US",350,IF(BR6="SE3800A-US",350,IF(BR6="SE5000A-US",350,IF(BR6="SE6000A-US",350,IF(BR6="SE7600A-US",350,IF(BR6="SE10000A-US",350,IF(BR6="SE11400A-US",350,IF(BR6="SE10000H-US",400,IF(BR6="SE11400H-US","400",))))))))))))))</f>
        <v>380</v>
      </c>
      <c r="BS10" s="90" t="s">
        <v>133</v>
      </c>
      <c r="BU10" s="38" t="s">
        <v>136</v>
      </c>
      <c r="BV10" s="39">
        <f>IF(BV6="SE3000H-US",380,IF(BV6="SE3800H-US",380,IF(BV6="SE5000H-US",380,IF(BV6="SE6000H-US",380,IF(BV6="SE7600H-US",400,IF(BV6="SE3000A-US",350,IF(BV6="SE3800A-US",350,IF(BV6="SE5000A-US",350,IF(BV6="SE6000A-US",350,IF(BV6="SE7600A-US",350,IF(BV6="SE10000A-US",350,IF(BV6="SE11400A-US",350,IF(BV6="SE10000H-US",400,IF(BV6="SE11400H-US","400",))))))))))))))</f>
        <v>380</v>
      </c>
      <c r="BW10" s="90" t="s">
        <v>133</v>
      </c>
      <c r="BY10" s="227">
        <f>SUM(BY8:BY9)</f>
        <v>25</v>
      </c>
      <c r="BZ10" s="29">
        <f>SUM(BZ8:BZ9)</f>
        <v>31.25</v>
      </c>
      <c r="CU10" s="5"/>
    </row>
    <row r="11" spans="2:99" ht="15" customHeight="1" x14ac:dyDescent="0.2">
      <c r="B11" s="16">
        <v>6</v>
      </c>
      <c r="C11" s="91">
        <v>100.001</v>
      </c>
      <c r="D11" s="91">
        <v>200</v>
      </c>
      <c r="E11" s="5"/>
      <c r="F11" s="462">
        <v>6</v>
      </c>
      <c r="G11" s="451"/>
      <c r="H11" s="16">
        <f t="shared" si="14"/>
        <v>50.000999999999998</v>
      </c>
      <c r="I11" s="91">
        <v>65</v>
      </c>
      <c r="J11" s="5"/>
      <c r="K11" s="462">
        <v>6</v>
      </c>
      <c r="L11" s="451"/>
      <c r="M11" s="16">
        <f t="shared" si="15"/>
        <v>70.001000000000005</v>
      </c>
      <c r="N11" s="91">
        <v>95</v>
      </c>
      <c r="O11" s="5"/>
      <c r="P11" s="499">
        <v>0.5</v>
      </c>
      <c r="Q11" s="500"/>
      <c r="R11" s="5">
        <v>10</v>
      </c>
      <c r="S11" s="16">
        <v>20</v>
      </c>
      <c r="T11" s="5"/>
      <c r="U11" s="16">
        <f t="shared" si="18"/>
        <v>13</v>
      </c>
      <c r="V11" s="9">
        <v>1.22</v>
      </c>
      <c r="W11" s="10">
        <v>1.1499999999999999</v>
      </c>
      <c r="X11" s="9">
        <v>1.1200000000000001</v>
      </c>
      <c r="Y11" s="16">
        <f t="shared" si="16"/>
        <v>55.400000000000006</v>
      </c>
      <c r="Z11" s="5"/>
      <c r="AA11" s="16">
        <v>30</v>
      </c>
      <c r="AB11" s="16">
        <f t="shared" si="19"/>
        <v>25.001000000000001</v>
      </c>
      <c r="AC11" s="91">
        <f t="shared" si="20"/>
        <v>30</v>
      </c>
      <c r="AD11" s="5"/>
      <c r="AE11" s="486" t="str">
        <f>VLOOKUP(AF3,Y92:Z97,2,FALSE)</f>
        <v>N/A</v>
      </c>
      <c r="AF11" s="487"/>
      <c r="AH11" s="37" t="s">
        <v>586</v>
      </c>
      <c r="AI11" s="37" t="s">
        <v>51</v>
      </c>
      <c r="AJ11" s="37">
        <f>SUM(AJ7:AJ9)</f>
        <v>2</v>
      </c>
      <c r="AK11" s="37">
        <v>0</v>
      </c>
      <c r="AL11" s="37">
        <v>1</v>
      </c>
      <c r="AM11" s="37">
        <f>IF('2 Inv Input'!$D$8=2017,$AF$22,$AF$22+33)</f>
        <v>25</v>
      </c>
      <c r="AN11" s="196" t="s">
        <v>87</v>
      </c>
      <c r="AO11" s="37" t="s">
        <v>60</v>
      </c>
      <c r="AP11" s="37" t="s">
        <v>60</v>
      </c>
      <c r="AQ11" s="200">
        <f t="shared" si="17"/>
        <v>1.04</v>
      </c>
      <c r="AR11" s="200">
        <f t="shared" si="6"/>
        <v>1</v>
      </c>
      <c r="AS11" s="97">
        <f t="shared" si="0"/>
        <v>15</v>
      </c>
      <c r="AT11" s="97" t="s">
        <v>88</v>
      </c>
      <c r="AU11" s="200">
        <f t="shared" si="11"/>
        <v>18.75</v>
      </c>
      <c r="AV11" s="200">
        <f t="shared" si="12"/>
        <v>14.42</v>
      </c>
      <c r="AW11" s="200">
        <f t="shared" si="8"/>
        <v>14.42</v>
      </c>
      <c r="AX11" s="294">
        <f t="shared" si="9"/>
        <v>10</v>
      </c>
      <c r="AY11" s="294" t="s">
        <v>51</v>
      </c>
      <c r="AZ11" s="294">
        <f t="shared" ref="AZ11:AZ14" si="21">LOOKUP(AW11,1/($C$7:$C$25&lt;=AW11)/($D$7:$D$25&gt;=AW11),$B$7:$B$25)</f>
        <v>10</v>
      </c>
      <c r="BA11" s="249">
        <f>'2 Inv VD'!AH36</f>
        <v>10</v>
      </c>
      <c r="BB11" s="97" t="s">
        <v>51</v>
      </c>
      <c r="BC11" s="249">
        <f t="shared" ref="BC11:BC14" si="22">AZ11</f>
        <v>10</v>
      </c>
      <c r="BD11" s="290">
        <f>(AJ11*(VLOOKUP(BA11,$P$27:$S$50,3,FALSE)))+(AL11*(VLOOKUP(BC11,$P$27:$S$50,3,FALSE)))</f>
        <v>6.3299999999999995E-2</v>
      </c>
      <c r="BE11" s="97">
        <f t="shared" si="2"/>
        <v>0.75</v>
      </c>
      <c r="BF11" s="97" t="s">
        <v>94</v>
      </c>
      <c r="BG11" s="37">
        <f t="shared" si="3"/>
        <v>35</v>
      </c>
      <c r="BH11" s="37">
        <f t="shared" si="4"/>
        <v>36.4</v>
      </c>
      <c r="BI11" s="37">
        <f t="shared" si="10"/>
        <v>30</v>
      </c>
      <c r="BK11" s="245" t="s">
        <v>587</v>
      </c>
      <c r="BM11" s="35" t="s">
        <v>139</v>
      </c>
      <c r="BN11" s="94" t="str">
        <f>IF(BN6="P300","8 - 48",IF(BN6="P320","8 - 48",IF(BN6="P370","8 - 60",IF(BN6="P400","8 - 80",IF(BN6="P405","12.5 - 105",IF(BN6="P505","12.5 - 83",))))))</f>
        <v>8 - 48</v>
      </c>
      <c r="BO11" s="36" t="s">
        <v>133</v>
      </c>
      <c r="BQ11" s="35" t="s">
        <v>140</v>
      </c>
      <c r="BR11" s="94">
        <f>IF(BR6="SE3000H-US",8.5,IF(BR6="SE3800H-US",10.5,IF(BR6="SE5000H-US",13.5,IF(BR6="SE6000H-US",16.5,IF(BR6="SE7600H-US",20,IF(BR6="SE3000A-US",9.5,IF(BR6="SE3800A-US",13,IF(BR6="SE5000A-US",15.5,IF(BR6="SE6000A-US",18,IF(BR6="SE7600A-US",23,IF(BR6="SE10000A-US",30.5,IF(BR6="SE11400A-US",34.5,IF(BR6="SE10000H-US",27,IF(BR6="SE11400H-US","30.5",))))))))))))))</f>
        <v>8.5</v>
      </c>
      <c r="BS11" s="36" t="s">
        <v>141</v>
      </c>
      <c r="BU11" s="35" t="s">
        <v>140</v>
      </c>
      <c r="BV11" s="94">
        <f>IF(BV6="SE3000H-US",8.5,IF(BV6="SE3800H-US",10.5,IF(BV6="SE5000H-US",13.5,IF(BV6="SE6000H-US",16.5,IF(BV6="SE7600H-US",20,IF(BV6="SE3000A-US",9.5,IF(BV6="SE3800A-US",13,IF(BV6="SE5000A-US",15.5,IF(BV6="SE6000A-US",18,IF(BV6="SE7600A-US",23,IF(BV6="SE10000A-US",30.5,IF(BV6="SE11400A-US",34.5,IF(BV6="SE10000H-US",27,IF(BV6="SE11400H-US","30.5",))))))))))))))</f>
        <v>8.5</v>
      </c>
      <c r="BW11" s="36" t="s">
        <v>141</v>
      </c>
      <c r="CU11" s="5"/>
    </row>
    <row r="12" spans="2:99" ht="15" customHeight="1" x14ac:dyDescent="0.2">
      <c r="B12" s="16">
        <v>4</v>
      </c>
      <c r="C12" s="91">
        <v>200.001</v>
      </c>
      <c r="D12" s="91">
        <v>300</v>
      </c>
      <c r="E12" s="5"/>
      <c r="F12" s="462">
        <v>4</v>
      </c>
      <c r="G12" s="451"/>
      <c r="H12" s="16">
        <f t="shared" si="14"/>
        <v>65.001000000000005</v>
      </c>
      <c r="I12" s="91">
        <v>85</v>
      </c>
      <c r="J12" s="5"/>
      <c r="K12" s="462">
        <v>4</v>
      </c>
      <c r="L12" s="451"/>
      <c r="M12" s="16">
        <f t="shared" si="15"/>
        <v>95.001000000000005</v>
      </c>
      <c r="N12" s="91">
        <v>125</v>
      </c>
      <c r="O12" s="5"/>
      <c r="P12" s="499">
        <v>0.45</v>
      </c>
      <c r="Q12" s="500"/>
      <c r="R12" s="5">
        <v>21</v>
      </c>
      <c r="S12" s="16">
        <v>30</v>
      </c>
      <c r="T12" s="5"/>
      <c r="U12" s="16">
        <f t="shared" si="18"/>
        <v>14</v>
      </c>
      <c r="V12" s="9">
        <v>1.22</v>
      </c>
      <c r="W12" s="10">
        <v>1.1499999999999999</v>
      </c>
      <c r="X12" s="9">
        <v>1.1200000000000001</v>
      </c>
      <c r="Y12" s="16">
        <f t="shared" si="16"/>
        <v>57.2</v>
      </c>
      <c r="Z12" s="5"/>
      <c r="AA12" s="253">
        <v>40</v>
      </c>
      <c r="AB12" s="16">
        <f t="shared" si="19"/>
        <v>30.001000000000001</v>
      </c>
      <c r="AC12" s="91">
        <f t="shared" si="20"/>
        <v>40</v>
      </c>
      <c r="AD12" s="5"/>
      <c r="AE12" s="486"/>
      <c r="AF12" s="487"/>
      <c r="AH12" s="37" t="s">
        <v>588</v>
      </c>
      <c r="AI12" s="37" t="s">
        <v>51</v>
      </c>
      <c r="AJ12" s="37">
        <v>2</v>
      </c>
      <c r="AK12" s="37">
        <v>1</v>
      </c>
      <c r="AL12" s="37">
        <v>1</v>
      </c>
      <c r="AM12" s="37">
        <f t="shared" ref="AM12:AM14" si="23">$AF$22</f>
        <v>25</v>
      </c>
      <c r="AN12" s="196" t="s">
        <v>87</v>
      </c>
      <c r="AO12" s="37" t="s">
        <v>60</v>
      </c>
      <c r="AP12" s="37" t="s">
        <v>60</v>
      </c>
      <c r="AQ12" s="200">
        <f t="shared" si="17"/>
        <v>1.04</v>
      </c>
      <c r="AR12" s="200">
        <f t="shared" si="6"/>
        <v>1</v>
      </c>
      <c r="AS12" s="97">
        <f>BR19</f>
        <v>12.5</v>
      </c>
      <c r="AT12" s="97" t="s">
        <v>89</v>
      </c>
      <c r="AU12" s="200">
        <f t="shared" si="11"/>
        <v>15.63</v>
      </c>
      <c r="AV12" s="200">
        <f t="shared" si="12"/>
        <v>12.02</v>
      </c>
      <c r="AW12" s="200">
        <f t="shared" ref="AW12:AW14" si="24">IF(AT12="yes",AS12,MAX(AU12:AV12))</f>
        <v>15.63</v>
      </c>
      <c r="AX12" s="294">
        <f t="shared" si="9"/>
        <v>10</v>
      </c>
      <c r="AY12" s="294">
        <f>AX12</f>
        <v>10</v>
      </c>
      <c r="AZ12" s="294">
        <f t="shared" si="21"/>
        <v>10</v>
      </c>
      <c r="BA12" s="249">
        <f>'2 Inv VD'!AH37</f>
        <v>10</v>
      </c>
      <c r="BB12" s="97">
        <f t="shared" ref="BB12:BB14" si="25">BA12</f>
        <v>10</v>
      </c>
      <c r="BC12" s="249">
        <f t="shared" si="22"/>
        <v>10</v>
      </c>
      <c r="BD12" s="290">
        <f t="shared" ref="BD12:BD14" si="26">(AJ12*(VLOOKUP(BA12,$P$27:$S$50,3,FALSE)))+(AK12*(VLOOKUP(BB12,$P$27:$S$50,3,FALSE)))+(AL12*(VLOOKUP(BC12,$P$27:$S$50,3,FALSE)))</f>
        <v>8.4400000000000003E-2</v>
      </c>
      <c r="BE12" s="97">
        <f t="shared" si="2"/>
        <v>0.75</v>
      </c>
      <c r="BF12" s="97">
        <f>LOOKUP(AW12,1/($AB$8:$AB$44&lt;=AW12)/($AC$8:$AC$44&gt;=AW12),$AA$8:$AA$44)</f>
        <v>20</v>
      </c>
      <c r="BG12" s="37">
        <f t="shared" si="3"/>
        <v>35</v>
      </c>
      <c r="BH12" s="37">
        <f t="shared" si="4"/>
        <v>36.4</v>
      </c>
      <c r="BI12" s="37">
        <f t="shared" si="10"/>
        <v>30</v>
      </c>
      <c r="BK12" s="245" t="s">
        <v>589</v>
      </c>
      <c r="BM12" s="35" t="s">
        <v>144</v>
      </c>
      <c r="BN12" s="94">
        <f>IF(BN6="P300",11,IF(BN6="P320",11,IF(BN6="P370",11,IF(BN6="P400",10.1,IF(BN6="P405",10.1,IF(BN6="P505",14,))))))</f>
        <v>11</v>
      </c>
      <c r="BO12" s="36" t="s">
        <v>141</v>
      </c>
      <c r="BQ12" s="35" t="s">
        <v>145</v>
      </c>
      <c r="BR12" s="94">
        <v>45</v>
      </c>
      <c r="BS12" s="36" t="s">
        <v>141</v>
      </c>
      <c r="BU12" s="35" t="s">
        <v>145</v>
      </c>
      <c r="BV12" s="94">
        <v>45</v>
      </c>
      <c r="BW12" s="36" t="s">
        <v>141</v>
      </c>
      <c r="CU12" s="5"/>
    </row>
    <row r="13" spans="2:99" ht="15" customHeight="1" x14ac:dyDescent="0.2">
      <c r="B13" s="16">
        <v>3</v>
      </c>
      <c r="C13" s="91">
        <v>300.00099999999998</v>
      </c>
      <c r="D13" s="91">
        <v>400</v>
      </c>
      <c r="E13" s="5"/>
      <c r="F13" s="462">
        <v>3</v>
      </c>
      <c r="G13" s="451"/>
      <c r="H13" s="16">
        <f t="shared" si="14"/>
        <v>85.001000000000005</v>
      </c>
      <c r="I13" s="91">
        <v>100</v>
      </c>
      <c r="J13" s="5"/>
      <c r="K13" s="462">
        <v>3</v>
      </c>
      <c r="L13" s="451"/>
      <c r="M13" s="16">
        <f t="shared" si="15"/>
        <v>125.001</v>
      </c>
      <c r="N13" s="91">
        <v>145</v>
      </c>
      <c r="O13" s="5"/>
      <c r="P13" s="499">
        <v>0.4</v>
      </c>
      <c r="Q13" s="500"/>
      <c r="R13" s="5">
        <v>31</v>
      </c>
      <c r="S13" s="16">
        <v>40</v>
      </c>
      <c r="T13" s="5"/>
      <c r="U13" s="16">
        <f t="shared" si="18"/>
        <v>15</v>
      </c>
      <c r="V13" s="9">
        <v>1.22</v>
      </c>
      <c r="W13" s="10">
        <v>1.1499999999999999</v>
      </c>
      <c r="X13" s="9">
        <v>1.1200000000000001</v>
      </c>
      <c r="Y13" s="16">
        <f t="shared" si="16"/>
        <v>59</v>
      </c>
      <c r="Z13" s="5"/>
      <c r="AA13" s="16">
        <v>40</v>
      </c>
      <c r="AB13" s="16">
        <f t="shared" si="19"/>
        <v>40.000999999999998</v>
      </c>
      <c r="AC13" s="91">
        <f t="shared" si="20"/>
        <v>40</v>
      </c>
      <c r="AD13" s="5"/>
      <c r="AE13" s="486"/>
      <c r="AF13" s="487"/>
      <c r="AH13" s="37" t="s">
        <v>590</v>
      </c>
      <c r="AI13" s="37" t="s">
        <v>51</v>
      </c>
      <c r="AJ13" s="37">
        <v>2</v>
      </c>
      <c r="AK13" s="37">
        <v>1</v>
      </c>
      <c r="AL13" s="37">
        <v>1</v>
      </c>
      <c r="AM13" s="37">
        <f t="shared" si="23"/>
        <v>25</v>
      </c>
      <c r="AN13" s="196" t="s">
        <v>87</v>
      </c>
      <c r="AO13" s="37" t="s">
        <v>60</v>
      </c>
      <c r="AP13" s="37" t="s">
        <v>60</v>
      </c>
      <c r="AQ13" s="200">
        <f t="shared" si="17"/>
        <v>1.04</v>
      </c>
      <c r="AR13" s="200">
        <f t="shared" si="6"/>
        <v>1</v>
      </c>
      <c r="AS13" s="97">
        <f>BV19</f>
        <v>12.5</v>
      </c>
      <c r="AT13" s="97" t="s">
        <v>89</v>
      </c>
      <c r="AU13" s="200">
        <f t="shared" si="11"/>
        <v>15.63</v>
      </c>
      <c r="AV13" s="200">
        <f t="shared" si="12"/>
        <v>12.02</v>
      </c>
      <c r="AW13" s="200">
        <f t="shared" si="24"/>
        <v>15.63</v>
      </c>
      <c r="AX13" s="294">
        <f t="shared" si="9"/>
        <v>10</v>
      </c>
      <c r="AY13" s="294">
        <f t="shared" ref="AY13:AY14" si="27">AX13</f>
        <v>10</v>
      </c>
      <c r="AZ13" s="294">
        <f t="shared" si="21"/>
        <v>10</v>
      </c>
      <c r="BA13" s="249">
        <f>'2 Inv VD'!AH38</f>
        <v>10</v>
      </c>
      <c r="BB13" s="97">
        <f t="shared" si="25"/>
        <v>10</v>
      </c>
      <c r="BC13" s="249">
        <f t="shared" si="22"/>
        <v>10</v>
      </c>
      <c r="BD13" s="290">
        <f t="shared" si="26"/>
        <v>8.4400000000000003E-2</v>
      </c>
      <c r="BE13" s="97">
        <f t="shared" si="2"/>
        <v>0.75</v>
      </c>
      <c r="BF13" s="97">
        <f>LOOKUP(AW13,1/($AB$8:$AB$44&lt;=AW13)/($AC$8:$AC$44&gt;=AW13),$AA$8:$AA$44)</f>
        <v>20</v>
      </c>
      <c r="BG13" s="37">
        <f t="shared" si="3"/>
        <v>35</v>
      </c>
      <c r="BH13" s="37">
        <f t="shared" si="4"/>
        <v>36.4</v>
      </c>
      <c r="BI13" s="37">
        <f t="shared" si="10"/>
        <v>30</v>
      </c>
      <c r="BK13" s="245"/>
      <c r="BM13" s="35" t="s">
        <v>148</v>
      </c>
      <c r="BN13" s="94">
        <f>IF(BN6="P300",13.75,IF(BN6="P320",13.75,IF(BN6="P370",13.75,IF(BN6="P400",12.63,IF(BN6="P405",12.63,IF(BN6="P505",17.5,))))))</f>
        <v>13.75</v>
      </c>
      <c r="BO13" s="36" t="s">
        <v>141</v>
      </c>
      <c r="BQ13" s="35" t="s">
        <v>149</v>
      </c>
      <c r="BR13" s="94">
        <f>IF(BR6="SE3000H-US",99,IF(BR6="SE3800H-US",99.2,IF(BR6="SE5000H-US",99.2,IF(BR6="SE6000H-US",99.2,IF(BR6="SE7600H-US",99.2,IF(BR6="SE3000A-US",97.7,IF(BR6="SE3800A-US",98.2,IF(BR6="SE5000A-US",98.3,IF(BR6="SE6000A-US",98.3,IF(BR6="SE7600A-US",98,IF(BR6="SE10000A-US",98,IF(BR6="SE11400A-US",98,IF(BR6="SE10000H-US",99.2,IF(BR6="SE11400H-US","99.2",))))))))))))))</f>
        <v>99</v>
      </c>
      <c r="BS13" s="36" t="s">
        <v>150</v>
      </c>
      <c r="BU13" s="35" t="s">
        <v>149</v>
      </c>
      <c r="BV13" s="94">
        <f>IF(BV6="SE3000H-US",99,IF(BV6="SE3800H-US",99.2,IF(BV6="SE5000H-US",99.2,IF(BV6="SE6000H-US",99.2,IF(BV6="SE7600H-US",99.2,IF(BV6="SE3000A-US",97.7,IF(BV6="SE3800A-US",98.2,IF(BV6="SE5000A-US",98.3,IF(BV6="SE6000A-US",98.3,IF(BV6="SE7600A-US",98,IF(BV6="SE10000A-US",98,IF(BV6="SE11400A-US",98,IF(BV6="SE10000H-US",99.2,IF(BV6="SE11400H-US","99.2",))))))))))))))</f>
        <v>99</v>
      </c>
      <c r="BW13" s="36" t="s">
        <v>150</v>
      </c>
      <c r="CU13" s="5"/>
    </row>
    <row r="14" spans="2:99" ht="15" customHeight="1" x14ac:dyDescent="0.2">
      <c r="B14" s="16">
        <v>2</v>
      </c>
      <c r="C14" s="91">
        <v>400.00099999999998</v>
      </c>
      <c r="D14" s="91">
        <v>500</v>
      </c>
      <c r="E14" s="5"/>
      <c r="F14" s="462">
        <v>2</v>
      </c>
      <c r="G14" s="451"/>
      <c r="H14" s="16">
        <f t="shared" si="14"/>
        <v>100.001</v>
      </c>
      <c r="I14" s="91">
        <v>115</v>
      </c>
      <c r="J14" s="5"/>
      <c r="K14" s="462">
        <v>2</v>
      </c>
      <c r="L14" s="451"/>
      <c r="M14" s="16">
        <f t="shared" si="15"/>
        <v>145.001</v>
      </c>
      <c r="N14" s="91">
        <v>170</v>
      </c>
      <c r="O14" s="5"/>
      <c r="P14" s="507">
        <v>0.35</v>
      </c>
      <c r="Q14" s="508"/>
      <c r="R14" s="63">
        <v>41</v>
      </c>
      <c r="S14" s="92">
        <v>100</v>
      </c>
      <c r="T14" s="5"/>
      <c r="U14" s="16">
        <f t="shared" si="18"/>
        <v>16</v>
      </c>
      <c r="V14" s="9">
        <v>1.1499999999999999</v>
      </c>
      <c r="W14" s="10">
        <v>1.1100000000000001</v>
      </c>
      <c r="X14" s="9">
        <v>1.08</v>
      </c>
      <c r="Y14" s="16">
        <f t="shared" si="16"/>
        <v>60.8</v>
      </c>
      <c r="Z14" s="5"/>
      <c r="AA14" s="16">
        <v>45</v>
      </c>
      <c r="AB14" s="16">
        <f t="shared" si="19"/>
        <v>40.000999999999998</v>
      </c>
      <c r="AC14" s="91">
        <f t="shared" si="20"/>
        <v>45</v>
      </c>
      <c r="AD14" s="5"/>
      <c r="AE14" s="486"/>
      <c r="AF14" s="487"/>
      <c r="AH14" s="15" t="s">
        <v>591</v>
      </c>
      <c r="AI14" s="15" t="s">
        <v>51</v>
      </c>
      <c r="AJ14" s="15">
        <v>2</v>
      </c>
      <c r="AK14" s="15">
        <v>1</v>
      </c>
      <c r="AL14" s="15">
        <v>1</v>
      </c>
      <c r="AM14" s="15">
        <f t="shared" si="23"/>
        <v>25</v>
      </c>
      <c r="AN14" s="99" t="s">
        <v>87</v>
      </c>
      <c r="AO14" s="15" t="s">
        <v>60</v>
      </c>
      <c r="AP14" s="15" t="s">
        <v>60</v>
      </c>
      <c r="AQ14" s="8">
        <f t="shared" si="17"/>
        <v>1.04</v>
      </c>
      <c r="AR14" s="8">
        <f t="shared" si="6"/>
        <v>1</v>
      </c>
      <c r="AS14" s="101">
        <f>SUM(AS12:AS13)</f>
        <v>25</v>
      </c>
      <c r="AT14" s="101" t="s">
        <v>89</v>
      </c>
      <c r="AU14" s="8">
        <f t="shared" si="11"/>
        <v>31.25</v>
      </c>
      <c r="AV14" s="8">
        <f t="shared" si="12"/>
        <v>24.04</v>
      </c>
      <c r="AW14" s="8">
        <f t="shared" si="24"/>
        <v>31.25</v>
      </c>
      <c r="AX14" s="294">
        <f t="shared" si="9"/>
        <v>10</v>
      </c>
      <c r="AY14" s="294">
        <f t="shared" si="27"/>
        <v>10</v>
      </c>
      <c r="AZ14" s="294">
        <f t="shared" si="21"/>
        <v>10</v>
      </c>
      <c r="BA14" s="249">
        <f>'2 Inv VD'!AH39</f>
        <v>10</v>
      </c>
      <c r="BB14" s="101">
        <f t="shared" si="25"/>
        <v>10</v>
      </c>
      <c r="BC14" s="249">
        <f t="shared" si="22"/>
        <v>10</v>
      </c>
      <c r="BD14" s="295">
        <f t="shared" si="26"/>
        <v>8.4400000000000003E-2</v>
      </c>
      <c r="BE14" s="101">
        <f t="shared" si="2"/>
        <v>0.75</v>
      </c>
      <c r="BF14" s="101">
        <f>LOOKUP(AW14,1/($AB$8:$AB$44&lt;=AW14)/($AC$8:$AC$44&gt;=AW14),$AA$8:$AA$44)</f>
        <v>40</v>
      </c>
      <c r="BG14" s="15">
        <f t="shared" si="3"/>
        <v>35</v>
      </c>
      <c r="BH14" s="15">
        <f t="shared" si="4"/>
        <v>36.4</v>
      </c>
      <c r="BI14" s="15">
        <f t="shared" si="10"/>
        <v>30</v>
      </c>
      <c r="BK14" s="245" t="s">
        <v>541</v>
      </c>
      <c r="BM14" s="35" t="s">
        <v>152</v>
      </c>
      <c r="BN14" s="94">
        <v>99.5</v>
      </c>
      <c r="BO14" s="36" t="s">
        <v>150</v>
      </c>
      <c r="BQ14" s="35" t="s">
        <v>153</v>
      </c>
      <c r="BR14" s="94">
        <f>IF(BR6="SE3000H-US",99,IF(BR6="SE3800H-US",99,IF(BR6="SE5000H-US",99,IF(BR6="SE6000H-US",99,IF(BR6="SE7600H-US",99,IF(BR6="SE3000A-US",97.5,IF(BR6="SE3800A-US",98,IF(BR6="SE5000A-US",98,IF(BR6="SE6000A-US",97.5,IF(BR6="SE7600A-US",97.5,IF(BR6="SE10000A-US",97.5,IF(BR6="SE11400A-US",97.5,IF(BR6="SE10000H-US",99,IF(BR6="SE11400H-US","99",))))))))))))))</f>
        <v>99</v>
      </c>
      <c r="BS14" s="36" t="s">
        <v>150</v>
      </c>
      <c r="BU14" s="35" t="s">
        <v>153</v>
      </c>
      <c r="BV14" s="94">
        <f>IF(BV6="SE3000H-US",99,IF(BV6="SE3800H-US",99,IF(BV6="SE5000H-US",99,IF(BV6="SE6000H-US",99,IF(BV6="SE7600H-US",99,IF(BV6="SE3000A-US",97.5,IF(BV6="SE3800A-US",98,IF(BV6="SE5000A-US",98,IF(BV6="SE6000A-US",97.5,IF(BV6="SE7600A-US",97.5,IF(BV6="SE10000A-US",97.5,IF(BV6="SE11400A-US",97.5,IF(BV6="SE10000H-US",99,IF(BV6="SE11400H-US","99",))))))))))))))</f>
        <v>99</v>
      </c>
      <c r="BW14" s="36" t="s">
        <v>150</v>
      </c>
      <c r="CU14" s="5"/>
    </row>
    <row r="15" spans="2:99" ht="15" customHeight="1" x14ac:dyDescent="0.2">
      <c r="B15" s="16">
        <v>1</v>
      </c>
      <c r="C15" s="91">
        <v>500.00099999999998</v>
      </c>
      <c r="D15" s="91">
        <v>600</v>
      </c>
      <c r="E15" s="5"/>
      <c r="F15" s="462">
        <v>1</v>
      </c>
      <c r="G15" s="451"/>
      <c r="H15" s="16">
        <f t="shared" si="14"/>
        <v>115.001</v>
      </c>
      <c r="I15" s="91">
        <v>130</v>
      </c>
      <c r="J15" s="95"/>
      <c r="K15" s="462">
        <v>1</v>
      </c>
      <c r="L15" s="451"/>
      <c r="M15" s="16">
        <f t="shared" si="15"/>
        <v>170.001</v>
      </c>
      <c r="N15" s="91">
        <v>195</v>
      </c>
      <c r="O15" s="5"/>
      <c r="P15" s="20"/>
      <c r="Q15" s="20"/>
      <c r="T15" s="5"/>
      <c r="U15" s="16">
        <f t="shared" si="18"/>
        <v>17</v>
      </c>
      <c r="V15" s="9">
        <v>1.1499999999999999</v>
      </c>
      <c r="W15" s="10">
        <v>1.1100000000000001</v>
      </c>
      <c r="X15" s="9">
        <v>1.08</v>
      </c>
      <c r="Y15" s="16">
        <f t="shared" si="16"/>
        <v>62.6</v>
      </c>
      <c r="Z15" s="5"/>
      <c r="AA15" s="16">
        <v>50</v>
      </c>
      <c r="AB15" s="16">
        <f t="shared" si="19"/>
        <v>45.000999999999998</v>
      </c>
      <c r="AC15" s="91">
        <f t="shared" si="20"/>
        <v>50</v>
      </c>
      <c r="AD15" s="5"/>
      <c r="AE15" s="486"/>
      <c r="AF15" s="487"/>
      <c r="AH15" s="296"/>
      <c r="AI15" s="296"/>
      <c r="AJ15" s="296"/>
      <c r="AK15" s="296"/>
      <c r="AL15" s="296"/>
      <c r="AM15" s="296"/>
      <c r="AN15" s="296"/>
      <c r="AO15" s="296"/>
      <c r="AP15" s="296"/>
      <c r="AQ15" s="296"/>
      <c r="AR15" s="296"/>
      <c r="AS15" s="296"/>
      <c r="AT15" s="296"/>
      <c r="AU15" s="296"/>
      <c r="AV15" s="296"/>
      <c r="AW15" s="296"/>
      <c r="AX15" s="296"/>
      <c r="AY15" s="296"/>
      <c r="AZ15" s="296"/>
      <c r="BA15" s="296"/>
      <c r="BB15" s="296"/>
      <c r="BC15" s="296"/>
      <c r="BD15" s="296"/>
      <c r="BE15" s="296"/>
      <c r="BF15" s="296"/>
      <c r="BG15" s="296"/>
      <c r="BH15" s="296"/>
      <c r="BI15" s="296"/>
      <c r="BK15" s="245" t="s">
        <v>97</v>
      </c>
      <c r="BM15" s="35" t="s">
        <v>156</v>
      </c>
      <c r="BN15" s="94">
        <f>IF(BN6="P505",98.6,98.8)</f>
        <v>98.8</v>
      </c>
      <c r="BO15" s="36" t="s">
        <v>150</v>
      </c>
      <c r="BQ15" s="520" t="s">
        <v>157</v>
      </c>
      <c r="BR15" s="521"/>
      <c r="BS15" s="522"/>
      <c r="BU15" s="520" t="s">
        <v>157</v>
      </c>
      <c r="BV15" s="521"/>
      <c r="BW15" s="522"/>
      <c r="CU15" s="5"/>
    </row>
    <row r="16" spans="2:99" ht="15" customHeight="1" x14ac:dyDescent="0.2">
      <c r="B16" s="21" t="s">
        <v>19</v>
      </c>
      <c r="C16" s="91">
        <v>600.00099999999998</v>
      </c>
      <c r="D16" s="91">
        <v>800</v>
      </c>
      <c r="E16" s="5"/>
      <c r="F16" s="498" t="s">
        <v>19</v>
      </c>
      <c r="G16" s="451"/>
      <c r="H16" s="16">
        <f t="shared" si="14"/>
        <v>130.001</v>
      </c>
      <c r="I16" s="91">
        <v>150</v>
      </c>
      <c r="J16" s="95"/>
      <c r="K16" s="498" t="s">
        <v>19</v>
      </c>
      <c r="L16" s="451"/>
      <c r="M16" s="16">
        <f t="shared" si="15"/>
        <v>195.001</v>
      </c>
      <c r="N16" s="91">
        <v>230</v>
      </c>
      <c r="O16" s="5"/>
      <c r="P16" s="501" t="s">
        <v>23</v>
      </c>
      <c r="Q16" s="502"/>
      <c r="R16" s="502"/>
      <c r="S16" s="503"/>
      <c r="T16" s="5"/>
      <c r="U16" s="16">
        <f t="shared" si="18"/>
        <v>18</v>
      </c>
      <c r="V16" s="9">
        <v>1.1499999999999999</v>
      </c>
      <c r="W16" s="10">
        <v>1.1100000000000001</v>
      </c>
      <c r="X16" s="9">
        <v>1.08</v>
      </c>
      <c r="Y16" s="16">
        <f t="shared" si="16"/>
        <v>64.400000000000006</v>
      </c>
      <c r="Z16" s="5"/>
      <c r="AA16" s="16">
        <v>60</v>
      </c>
      <c r="AB16" s="16">
        <f t="shared" si="19"/>
        <v>50.000999999999998</v>
      </c>
      <c r="AC16" s="91">
        <f t="shared" si="20"/>
        <v>60</v>
      </c>
      <c r="AD16" s="5"/>
      <c r="AE16" s="486"/>
      <c r="AF16" s="487"/>
      <c r="AH16" s="32"/>
      <c r="AI16" s="32"/>
      <c r="AJ16" s="32"/>
      <c r="AK16" s="32"/>
      <c r="AL16" s="32"/>
      <c r="AM16" s="32"/>
      <c r="AN16" s="32"/>
      <c r="BK16" s="245" t="s">
        <v>592</v>
      </c>
      <c r="BL16" s="30"/>
      <c r="BM16" s="40" t="s">
        <v>158</v>
      </c>
      <c r="BN16" s="94" t="s">
        <v>159</v>
      </c>
      <c r="BO16" s="29" t="s">
        <v>51</v>
      </c>
      <c r="BP16" s="30"/>
      <c r="BQ16" s="41" t="s">
        <v>160</v>
      </c>
      <c r="BR16" s="101">
        <f>IF(BR6="SE3000H-US",3000,IF(BR6="SE3800H-US",3800,IF(BR6="SE5000H-US",5000,IF(BR6="SE6000H-US",6000,IF(BR6="SE7600H-US",7600,IF(BR6="SE3000A-US",3000,IF(BR6="SE3800A-US",3800,IF(BR6="SE5000A-US",5000,IF(BR6="SE6000A-US",6000,IF(BR6="SE7600A-US",7600,IF(BR6="SE10000A-US",10000,IF(BR6="SE11400A-US",11400,IF(BR6="SE10000H-US",10000,IF(BR6="SE11400H-US",11400,))))))))))))))</f>
        <v>3000</v>
      </c>
      <c r="BS16" s="102" t="s">
        <v>161</v>
      </c>
      <c r="BT16" s="30"/>
      <c r="BU16" s="41" t="s">
        <v>160</v>
      </c>
      <c r="BV16" s="101">
        <f>IF(BV6="SE3000H-US",3000,IF(BV6="SE3800H-US",3800,IF(BV6="SE5000H-US",5000,IF(BV6="SE6000H-US",6000,IF(BV6="SE7600H-US",7600,IF(BV6="SE3000A-US",3000,IF(BV6="SE3800A-US",3800,IF(BV6="SE5000A-US",5000,IF(BV6="SE6000A-US",6000,IF(BV6="SE7600A-US",7600,IF(BV6="SE10000A-US",10000,IF(BV6="SE11400A-US",11400,IF(BV6="SE10000H-US",10000,IF(BV6="SE11400H-US",11400,))))))))))))))</f>
        <v>3000</v>
      </c>
      <c r="BW16" s="102" t="s">
        <v>161</v>
      </c>
      <c r="CU16" s="5"/>
    </row>
    <row r="17" spans="2:99" ht="15" customHeight="1" x14ac:dyDescent="0.2">
      <c r="B17" s="21" t="s">
        <v>29</v>
      </c>
      <c r="C17" s="91">
        <v>800.00099999999998</v>
      </c>
      <c r="D17" s="91">
        <v>1000</v>
      </c>
      <c r="E17" s="5"/>
      <c r="F17" s="498" t="s">
        <v>29</v>
      </c>
      <c r="G17" s="451"/>
      <c r="H17" s="16">
        <f t="shared" si="14"/>
        <v>150.001</v>
      </c>
      <c r="I17" s="91">
        <v>175</v>
      </c>
      <c r="J17" s="95"/>
      <c r="K17" s="498" t="s">
        <v>29</v>
      </c>
      <c r="L17" s="451"/>
      <c r="M17" s="16">
        <f t="shared" si="15"/>
        <v>230.001</v>
      </c>
      <c r="N17" s="91">
        <v>265</v>
      </c>
      <c r="O17" s="5"/>
      <c r="P17" s="504"/>
      <c r="Q17" s="505"/>
      <c r="R17" s="505"/>
      <c r="S17" s="506"/>
      <c r="T17" s="5"/>
      <c r="U17" s="16">
        <f t="shared" si="18"/>
        <v>19</v>
      </c>
      <c r="V17" s="9">
        <v>1.1499999999999999</v>
      </c>
      <c r="W17" s="10">
        <v>1.1100000000000001</v>
      </c>
      <c r="X17" s="9">
        <v>1.08</v>
      </c>
      <c r="Y17" s="16">
        <f t="shared" si="16"/>
        <v>66.2</v>
      </c>
      <c r="Z17" s="5"/>
      <c r="AA17" s="16">
        <v>70</v>
      </c>
      <c r="AB17" s="16">
        <f t="shared" si="19"/>
        <v>60.000999999999998</v>
      </c>
      <c r="AC17" s="91">
        <f t="shared" si="20"/>
        <v>70</v>
      </c>
      <c r="AD17" s="5"/>
      <c r="AE17" s="486"/>
      <c r="AF17" s="487"/>
      <c r="AH17" s="32"/>
      <c r="AI17" s="32"/>
      <c r="AJ17" s="32"/>
      <c r="AK17" s="32"/>
      <c r="AL17" s="32"/>
      <c r="AM17" s="32"/>
      <c r="AN17" s="32"/>
      <c r="BK17" s="245" t="s">
        <v>541</v>
      </c>
      <c r="BL17" s="30"/>
      <c r="BM17" s="453" t="s">
        <v>163</v>
      </c>
      <c r="BN17" s="454"/>
      <c r="BO17" s="455"/>
      <c r="BP17" s="30"/>
      <c r="BQ17" s="42" t="s">
        <v>164</v>
      </c>
      <c r="BR17" s="36">
        <f>IF(BR6="SE3000H-US",3000,IF(BR6="SE3800H-US",3800,IF(BR6="SE5000H-US",5000,IF(BR6="SE6000H-US",6000,IF(BR6="SE7600H-US",7600,IF(BR6="SE3000A-US",3300,IF(BR6="SE3800A-US",4150,IF(BR6="SE5000A-US",5450,IF(BR6="SE6000A-US",6000,IF(BR6="SE7600A-US",8350,IF(BR6="SE10000A-US",10950,IF(BR6="SE11400A-US",12000,IF(BR6="SE10000H-US",10000,IF(BR6="SE11400H-US",11400,))))))))))))))</f>
        <v>3000</v>
      </c>
      <c r="BS17" s="105" t="s">
        <v>161</v>
      </c>
      <c r="BT17" s="30"/>
      <c r="BU17" s="42" t="s">
        <v>164</v>
      </c>
      <c r="BV17" s="36">
        <f>IF(BV6="SE3000H-US",3000,IF(BV6="SE3800H-US",3800,IF(BV6="SE5000H-US",5000,IF(BV6="SE6000H-US",6000,IF(BV6="SE7600H-US",7600,IF(BV6="SE3000A-US",3300,IF(BV6="SE3800A-US",4150,IF(BV6="SE5000A-US",5450,IF(BV6="SE6000A-US",6000,IF(BV6="SE7600A-US",8350,IF(BV6="SE10000A-US",10950,IF(BV6="SE11400A-US",12000,IF(BV6="SE10000H-US",10000,IF(BV6="SE11400H-US",11400,))))))))))))))</f>
        <v>3000</v>
      </c>
      <c r="BW17" s="105" t="s">
        <v>161</v>
      </c>
      <c r="CU17" s="5"/>
    </row>
    <row r="18" spans="2:99" ht="15" customHeight="1" x14ac:dyDescent="0.2">
      <c r="B18" s="21" t="s">
        <v>28</v>
      </c>
      <c r="C18" s="91">
        <v>1000.001</v>
      </c>
      <c r="D18" s="91">
        <v>1200</v>
      </c>
      <c r="E18" s="5"/>
      <c r="F18" s="498" t="s">
        <v>28</v>
      </c>
      <c r="G18" s="451"/>
      <c r="H18" s="16">
        <f t="shared" si="14"/>
        <v>175.001</v>
      </c>
      <c r="I18" s="91">
        <v>200</v>
      </c>
      <c r="J18" s="5"/>
      <c r="K18" s="498" t="s">
        <v>28</v>
      </c>
      <c r="L18" s="451"/>
      <c r="M18" s="16">
        <f t="shared" si="15"/>
        <v>265.00099999999998</v>
      </c>
      <c r="N18" s="91">
        <v>310</v>
      </c>
      <c r="O18" s="5"/>
      <c r="T18" s="5"/>
      <c r="U18" s="16">
        <f t="shared" si="18"/>
        <v>20</v>
      </c>
      <c r="V18" s="9">
        <v>1.1499999999999999</v>
      </c>
      <c r="W18" s="10">
        <v>1.1100000000000001</v>
      </c>
      <c r="X18" s="9">
        <v>1.08</v>
      </c>
      <c r="Y18" s="16">
        <f t="shared" si="16"/>
        <v>68</v>
      </c>
      <c r="Z18" s="5"/>
      <c r="AA18" s="16">
        <v>80</v>
      </c>
      <c r="AB18" s="16">
        <f t="shared" si="19"/>
        <v>70.001000000000005</v>
      </c>
      <c r="AC18" s="91">
        <f t="shared" si="20"/>
        <v>80</v>
      </c>
      <c r="AD18" s="5"/>
      <c r="AE18" s="486"/>
      <c r="AF18" s="487"/>
      <c r="AH18" s="32"/>
      <c r="AI18" s="32"/>
      <c r="AJ18" s="32"/>
      <c r="AK18" s="32"/>
      <c r="AL18" s="32"/>
      <c r="AM18" s="32"/>
      <c r="AN18" s="32"/>
      <c r="BK18" s="245" t="s">
        <v>593</v>
      </c>
      <c r="BL18" s="30"/>
      <c r="BM18" s="34" t="s">
        <v>172</v>
      </c>
      <c r="BN18" s="94">
        <v>15</v>
      </c>
      <c r="BO18" s="101" t="s">
        <v>141</v>
      </c>
      <c r="BP18" s="30"/>
      <c r="BQ18" s="42" t="s">
        <v>173</v>
      </c>
      <c r="BR18" s="36">
        <v>240</v>
      </c>
      <c r="BS18" s="105" t="s">
        <v>174</v>
      </c>
      <c r="BT18" s="30"/>
      <c r="BU18" s="42" t="s">
        <v>173</v>
      </c>
      <c r="BV18" s="36">
        <v>240</v>
      </c>
      <c r="BW18" s="105" t="s">
        <v>174</v>
      </c>
      <c r="CU18" s="5"/>
    </row>
    <row r="19" spans="2:99" ht="15" customHeight="1" x14ac:dyDescent="0.2">
      <c r="B19" s="21" t="s">
        <v>27</v>
      </c>
      <c r="C19" s="91">
        <v>1200.001</v>
      </c>
      <c r="D19" s="91">
        <v>1600</v>
      </c>
      <c r="E19" s="5"/>
      <c r="F19" s="498" t="s">
        <v>27</v>
      </c>
      <c r="G19" s="451"/>
      <c r="H19" s="16">
        <f t="shared" si="14"/>
        <v>200.001</v>
      </c>
      <c r="I19" s="91">
        <v>230</v>
      </c>
      <c r="J19" s="5"/>
      <c r="K19" s="498" t="s">
        <v>27</v>
      </c>
      <c r="L19" s="451"/>
      <c r="M19" s="16">
        <f t="shared" si="15"/>
        <v>310.00099999999998</v>
      </c>
      <c r="N19" s="91">
        <v>360</v>
      </c>
      <c r="O19" s="5"/>
      <c r="T19" s="5"/>
      <c r="U19" s="16">
        <f t="shared" si="18"/>
        <v>21</v>
      </c>
      <c r="V19" s="9">
        <v>1.08</v>
      </c>
      <c r="W19" s="10">
        <v>1.05</v>
      </c>
      <c r="X19" s="9">
        <v>1.04</v>
      </c>
      <c r="Y19" s="16">
        <f t="shared" si="16"/>
        <v>69.800000000000011</v>
      </c>
      <c r="Z19" s="5"/>
      <c r="AA19" s="16">
        <v>90</v>
      </c>
      <c r="AB19" s="16">
        <f t="shared" si="19"/>
        <v>80.001000000000005</v>
      </c>
      <c r="AC19" s="91">
        <f t="shared" si="20"/>
        <v>90</v>
      </c>
      <c r="AD19" s="5"/>
      <c r="AE19" s="488"/>
      <c r="AF19" s="489"/>
      <c r="AH19" s="32"/>
      <c r="AI19" s="32"/>
      <c r="AJ19" s="32"/>
      <c r="AK19" s="32"/>
      <c r="AL19" s="32"/>
      <c r="AM19" s="32"/>
      <c r="AN19" s="32"/>
      <c r="BK19" s="245" t="s">
        <v>592</v>
      </c>
      <c r="BL19" s="43"/>
      <c r="BM19" s="40" t="s">
        <v>175</v>
      </c>
      <c r="BN19" s="260">
        <f>IF(BN6="P405",85,IF(BN6="P505",85,60))</f>
        <v>60</v>
      </c>
      <c r="BO19" s="29" t="s">
        <v>133</v>
      </c>
      <c r="BP19" s="43"/>
      <c r="BQ19" s="44" t="s">
        <v>176</v>
      </c>
      <c r="BR19" s="29">
        <f>IF(BR6="SE3000H-US",12.5,IF(BR6="SE3800H-US",16,IF(BR6="SE5000H-US",21,IF(BR6="SE6000H-US",25,IF(BR6="SE7600H-US",32,IF(BR6="SE3000A-US",12.5,IF(BR6="SE3800A-US",16,IF(BR6="SE5000A-US",21,IF(BR6="SE6000A-US",25,IF(BR6="SE7600A-US",32,IF(BR6="SE10000A-US",42,IF(BR6="SE11400A-US",47.5,IF(BR6="SE10000H-US",42,IF(BR6="SE11400H-US",47.5,))))))))))))))</f>
        <v>12.5</v>
      </c>
      <c r="BS19" s="309" t="s">
        <v>97</v>
      </c>
      <c r="BT19" s="43"/>
      <c r="BU19" s="44" t="s">
        <v>176</v>
      </c>
      <c r="BV19" s="29">
        <f>IF(BV6="SE3000H-US",12.5,IF(BV6="SE3800H-US",16,IF(BV6="SE5000H-US",21,IF(BV6="SE6000H-US",25,IF(BV6="SE7600H-US",32,IF(BV6="SE3000A-US",12.5,IF(BV6="SE3800A-US",16,IF(BV6="SE5000A-US",21,IF(BV6="SE6000A-US",25,IF(BV6="SE7600A-US",32,IF(BV6="SE10000A-US",42,IF(BV6="SE11400A-US",47.5,IF(BV6="SE10000H-US",42,IF(BV6="SE11400H-US",47.5,))))))))))))))</f>
        <v>12.5</v>
      </c>
      <c r="BW19" s="309" t="s">
        <v>97</v>
      </c>
      <c r="CU19" s="5"/>
    </row>
    <row r="20" spans="2:99" ht="15" customHeight="1" x14ac:dyDescent="0.2">
      <c r="B20" s="16">
        <v>250</v>
      </c>
      <c r="C20" s="91">
        <v>1600.001</v>
      </c>
      <c r="D20" s="91">
        <v>2000</v>
      </c>
      <c r="E20" s="5"/>
      <c r="F20" s="462">
        <v>250</v>
      </c>
      <c r="G20" s="451"/>
      <c r="H20" s="16">
        <f t="shared" si="14"/>
        <v>230.001</v>
      </c>
      <c r="I20" s="91">
        <v>255</v>
      </c>
      <c r="J20" s="5"/>
      <c r="K20" s="462">
        <v>250</v>
      </c>
      <c r="L20" s="451"/>
      <c r="M20" s="16">
        <f t="shared" si="15"/>
        <v>360.00099999999998</v>
      </c>
      <c r="N20" s="91">
        <v>405</v>
      </c>
      <c r="O20" s="5"/>
      <c r="T20" s="5"/>
      <c r="U20" s="16">
        <f t="shared" si="18"/>
        <v>22</v>
      </c>
      <c r="V20" s="9">
        <v>1.08</v>
      </c>
      <c r="W20" s="10">
        <v>1.05</v>
      </c>
      <c r="X20" s="9">
        <v>1.04</v>
      </c>
      <c r="Y20" s="16">
        <f t="shared" si="16"/>
        <v>71.599999999999994</v>
      </c>
      <c r="Z20" s="5"/>
      <c r="AA20" s="16">
        <v>100</v>
      </c>
      <c r="AB20" s="16">
        <f t="shared" si="19"/>
        <v>90.001000000000005</v>
      </c>
      <c r="AC20" s="91">
        <f t="shared" si="20"/>
        <v>100</v>
      </c>
      <c r="AD20" s="5"/>
      <c r="AH20" s="32"/>
      <c r="AI20" s="32"/>
      <c r="AJ20" s="32"/>
      <c r="AK20" s="32"/>
      <c r="AL20" s="32"/>
      <c r="AM20" s="32"/>
      <c r="AN20" s="32"/>
      <c r="AU20" s="206" t="s">
        <v>595</v>
      </c>
      <c r="AV20" s="206"/>
      <c r="AW20" s="206"/>
      <c r="AX20" s="206"/>
      <c r="AY20" s="206"/>
      <c r="AZ20" s="206"/>
      <c r="BK20" s="245" t="s">
        <v>97</v>
      </c>
      <c r="BL20" s="30"/>
      <c r="BM20" s="453" t="s">
        <v>596</v>
      </c>
      <c r="BN20" s="454"/>
      <c r="BO20" s="455"/>
      <c r="BP20" s="30"/>
      <c r="BQ20" s="32"/>
      <c r="BR20" s="32"/>
      <c r="BS20" s="32"/>
      <c r="BT20" s="30"/>
      <c r="BU20" s="32"/>
      <c r="BV20" s="32"/>
      <c r="BW20" s="32"/>
      <c r="CU20" s="5"/>
    </row>
    <row r="21" spans="2:99" ht="15" customHeight="1" x14ac:dyDescent="0.2">
      <c r="B21" s="16">
        <v>350</v>
      </c>
      <c r="C21" s="91">
        <v>2000.001</v>
      </c>
      <c r="D21" s="91">
        <v>2500</v>
      </c>
      <c r="E21" s="5"/>
      <c r="F21" s="462">
        <v>300</v>
      </c>
      <c r="G21" s="451"/>
      <c r="H21" s="16">
        <f t="shared" si="14"/>
        <v>255.001</v>
      </c>
      <c r="I21" s="91">
        <v>285</v>
      </c>
      <c r="J21" s="5"/>
      <c r="K21" s="462">
        <v>300</v>
      </c>
      <c r="L21" s="451"/>
      <c r="M21" s="16">
        <f t="shared" si="15"/>
        <v>405.00099999999998</v>
      </c>
      <c r="N21" s="91">
        <v>445</v>
      </c>
      <c r="O21" s="5"/>
      <c r="P21" s="5"/>
      <c r="Q21" s="5"/>
      <c r="R21" s="5"/>
      <c r="S21" s="5"/>
      <c r="T21" s="5"/>
      <c r="U21" s="16">
        <f t="shared" si="18"/>
        <v>23</v>
      </c>
      <c r="V21" s="9">
        <v>1.08</v>
      </c>
      <c r="W21" s="10">
        <v>1.05</v>
      </c>
      <c r="X21" s="9">
        <v>1.04</v>
      </c>
      <c r="Y21" s="16">
        <f t="shared" si="16"/>
        <v>73.400000000000006</v>
      </c>
      <c r="Z21" s="5"/>
      <c r="AA21" s="16">
        <v>110</v>
      </c>
      <c r="AB21" s="16">
        <f t="shared" si="19"/>
        <v>100.001</v>
      </c>
      <c r="AC21" s="91">
        <f t="shared" si="20"/>
        <v>110</v>
      </c>
      <c r="AD21" s="5"/>
      <c r="AE21" s="446" t="s">
        <v>80</v>
      </c>
      <c r="AF21" s="446"/>
      <c r="AH21" s="32"/>
      <c r="AI21" s="32"/>
      <c r="AJ21" s="32"/>
      <c r="AK21" s="32"/>
      <c r="AL21" s="32"/>
      <c r="AM21" s="32"/>
      <c r="AN21" s="32"/>
      <c r="AO21" s="206"/>
      <c r="AP21" s="206"/>
      <c r="AQ21" s="206"/>
      <c r="AR21" s="206"/>
      <c r="AS21" s="206"/>
      <c r="AU21" s="206"/>
      <c r="AV21" s="206"/>
      <c r="AW21" s="206"/>
      <c r="AX21" s="206"/>
      <c r="AY21" s="206"/>
      <c r="AZ21" s="206"/>
      <c r="BK21" s="245" t="s">
        <v>576</v>
      </c>
      <c r="BL21" s="30"/>
      <c r="BM21" s="34" t="s">
        <v>597</v>
      </c>
      <c r="BN21" s="410" t="str">
        <f>IF(BN6="P300","SOLAREDGE P300",IF(BN6="P320","SOLAREDGE P320",IF(BN6="P370","SOLAREDGE P370",IF(BN6="P400","SOLAREDGE P400",IF(BN6="P405","SOLAREDGE P405",IF(BN6="P505","SOLAREDGE P505",))))))</f>
        <v>SOLAREDGE P320</v>
      </c>
      <c r="BO21" s="412"/>
      <c r="BP21" s="30"/>
      <c r="BQ21" s="45" t="s">
        <v>189</v>
      </c>
      <c r="BR21" s="492" t="s">
        <v>190</v>
      </c>
      <c r="BS21" s="493"/>
      <c r="BT21" s="30"/>
      <c r="BU21" s="45" t="s">
        <v>189</v>
      </c>
      <c r="BV21" s="492" t="s">
        <v>190</v>
      </c>
      <c r="BW21" s="493"/>
    </row>
    <row r="22" spans="2:99" ht="15" customHeight="1" x14ac:dyDescent="0.2">
      <c r="B22" s="16">
        <v>400</v>
      </c>
      <c r="C22" s="91">
        <v>2500.0010000000002</v>
      </c>
      <c r="D22" s="91">
        <v>3000</v>
      </c>
      <c r="E22" s="5"/>
      <c r="F22" s="462">
        <v>350</v>
      </c>
      <c r="G22" s="451"/>
      <c r="H22" s="16">
        <f t="shared" si="14"/>
        <v>285.00099999999998</v>
      </c>
      <c r="I22" s="91">
        <v>310</v>
      </c>
      <c r="J22" s="5"/>
      <c r="K22" s="462">
        <v>350</v>
      </c>
      <c r="L22" s="451"/>
      <c r="M22" s="16">
        <f t="shared" si="15"/>
        <v>445.00099999999998</v>
      </c>
      <c r="N22" s="91">
        <v>505</v>
      </c>
      <c r="O22" s="5"/>
      <c r="P22" s="478" t="s">
        <v>24</v>
      </c>
      <c r="Q22" s="478"/>
      <c r="R22" s="478"/>
      <c r="S22" s="478"/>
      <c r="T22" s="5"/>
      <c r="U22" s="16">
        <f t="shared" si="18"/>
        <v>24</v>
      </c>
      <c r="V22" s="9">
        <v>1.08</v>
      </c>
      <c r="W22" s="10">
        <v>1.05</v>
      </c>
      <c r="X22" s="9">
        <v>1.04</v>
      </c>
      <c r="Y22" s="16">
        <f t="shared" si="16"/>
        <v>75.2</v>
      </c>
      <c r="Z22" s="5"/>
      <c r="AA22" s="16">
        <v>125</v>
      </c>
      <c r="AB22" s="16">
        <f t="shared" si="19"/>
        <v>110.001</v>
      </c>
      <c r="AC22" s="91">
        <f t="shared" si="20"/>
        <v>125</v>
      </c>
      <c r="AD22" s="5"/>
      <c r="AE22" s="37" t="str">
        <f>IF(AF3="Texas Energy Experts","0.4% DB High Temp (°C)","2% DB High Temp (°C)")</f>
        <v>2% DB High Temp (°C)</v>
      </c>
      <c r="AF22" s="97">
        <f>'2 Inv Input'!D26</f>
        <v>25</v>
      </c>
      <c r="AH22" s="32"/>
      <c r="AI22" s="32"/>
      <c r="AJ22" s="32"/>
      <c r="AK22" s="32"/>
      <c r="AL22" s="32"/>
      <c r="AM22" s="32"/>
      <c r="AN22" s="32"/>
      <c r="AO22" s="206"/>
      <c r="AP22" s="206"/>
      <c r="AQ22" s="206"/>
      <c r="AR22" s="206"/>
      <c r="AS22" s="206"/>
      <c r="AT22" s="2"/>
      <c r="AU22" s="206"/>
      <c r="AV22" s="206"/>
      <c r="AW22" s="206"/>
      <c r="AX22" s="206"/>
      <c r="AY22" s="206"/>
      <c r="AZ22" s="206"/>
      <c r="BK22" s="245" t="s">
        <v>578</v>
      </c>
      <c r="BL22" s="30"/>
      <c r="BM22" s="40" t="s">
        <v>598</v>
      </c>
      <c r="BN22" s="426">
        <f>'2 Inv Output'!H9</f>
        <v>1</v>
      </c>
      <c r="BO22" s="428"/>
      <c r="BP22" s="30"/>
      <c r="BQ22" s="34" t="s">
        <v>192</v>
      </c>
      <c r="BR22" s="46" t="s">
        <v>193</v>
      </c>
      <c r="BS22" s="46" t="s">
        <v>219</v>
      </c>
      <c r="BT22" s="30"/>
      <c r="BU22" s="34" t="s">
        <v>192</v>
      </c>
      <c r="BV22" s="46" t="s">
        <v>193</v>
      </c>
      <c r="BW22" s="46" t="s">
        <v>219</v>
      </c>
    </row>
    <row r="23" spans="2:99" ht="15" customHeight="1" x14ac:dyDescent="0.2">
      <c r="B23" s="16">
        <v>500</v>
      </c>
      <c r="C23" s="91">
        <v>3000.0010000000002</v>
      </c>
      <c r="D23" s="91">
        <v>4000</v>
      </c>
      <c r="E23" s="5"/>
      <c r="F23" s="462">
        <v>400</v>
      </c>
      <c r="G23" s="451"/>
      <c r="H23" s="16">
        <f t="shared" si="14"/>
        <v>310.00099999999998</v>
      </c>
      <c r="I23" s="91">
        <v>335</v>
      </c>
      <c r="J23" s="5"/>
      <c r="K23" s="462">
        <v>400</v>
      </c>
      <c r="L23" s="451"/>
      <c r="M23" s="16">
        <f t="shared" si="15"/>
        <v>505.00099999999998</v>
      </c>
      <c r="N23" s="91">
        <v>545</v>
      </c>
      <c r="O23" s="5"/>
      <c r="T23" s="5"/>
      <c r="U23" s="16">
        <f t="shared" si="18"/>
        <v>25</v>
      </c>
      <c r="V23" s="9">
        <v>1.08</v>
      </c>
      <c r="W23" s="10">
        <v>1.05</v>
      </c>
      <c r="X23" s="9">
        <v>1.04</v>
      </c>
      <c r="Y23" s="16">
        <f t="shared" si="16"/>
        <v>77</v>
      </c>
      <c r="Z23" s="5"/>
      <c r="AA23" s="16">
        <v>150</v>
      </c>
      <c r="AB23" s="16">
        <f t="shared" si="19"/>
        <v>125.001</v>
      </c>
      <c r="AC23" s="91">
        <f t="shared" si="20"/>
        <v>150</v>
      </c>
      <c r="AD23" s="5"/>
      <c r="AE23" s="37" t="s">
        <v>225</v>
      </c>
      <c r="AF23" s="97">
        <f>'2 Inv Input'!D27</f>
        <v>-25</v>
      </c>
      <c r="AH23" s="32"/>
      <c r="AI23" s="32"/>
      <c r="AJ23" s="32"/>
      <c r="AK23" s="32"/>
      <c r="AL23" s="32"/>
      <c r="AM23" s="32"/>
      <c r="AN23" s="32"/>
      <c r="AO23" s="206"/>
      <c r="AP23" s="206"/>
      <c r="AQ23" s="206"/>
      <c r="AR23" s="206"/>
      <c r="AS23" s="206"/>
      <c r="AU23" s="206"/>
      <c r="AV23" s="206"/>
      <c r="AW23" s="206"/>
      <c r="AX23" s="206"/>
      <c r="AY23" s="206"/>
      <c r="AZ23" s="206"/>
      <c r="BK23" s="245" t="s">
        <v>571</v>
      </c>
      <c r="BL23" s="30"/>
      <c r="BM23" s="30"/>
      <c r="BN23" s="30"/>
      <c r="BO23" s="30"/>
      <c r="BP23" s="30"/>
      <c r="BQ23" s="35" t="s">
        <v>195</v>
      </c>
      <c r="BR23" s="101" t="s">
        <v>196</v>
      </c>
      <c r="BS23" s="101">
        <v>5250</v>
      </c>
      <c r="BT23" s="30"/>
      <c r="BU23" s="35" t="s">
        <v>195</v>
      </c>
      <c r="BV23" s="101" t="s">
        <v>196</v>
      </c>
      <c r="BW23" s="101">
        <v>5250</v>
      </c>
    </row>
    <row r="24" spans="2:99" ht="15" customHeight="1" x14ac:dyDescent="0.2">
      <c r="B24" s="16">
        <v>700</v>
      </c>
      <c r="C24" s="91">
        <v>4000.0010000000002</v>
      </c>
      <c r="D24" s="91">
        <v>5000</v>
      </c>
      <c r="E24" s="5"/>
      <c r="F24" s="462">
        <v>500</v>
      </c>
      <c r="G24" s="451"/>
      <c r="H24" s="16">
        <f t="shared" si="14"/>
        <v>335.00099999999998</v>
      </c>
      <c r="I24" s="91">
        <v>380</v>
      </c>
      <c r="J24" s="5"/>
      <c r="K24" s="462">
        <v>500</v>
      </c>
      <c r="L24" s="451"/>
      <c r="M24" s="16">
        <f t="shared" si="15"/>
        <v>545.00099999999998</v>
      </c>
      <c r="N24" s="91">
        <v>620</v>
      </c>
      <c r="O24" s="5"/>
      <c r="P24" s="472" t="s">
        <v>26</v>
      </c>
      <c r="Q24" s="473"/>
      <c r="R24" s="473"/>
      <c r="S24" s="474"/>
      <c r="T24" s="5"/>
      <c r="U24" s="16">
        <f t="shared" si="18"/>
        <v>26</v>
      </c>
      <c r="V24" s="9">
        <v>1</v>
      </c>
      <c r="W24" s="10">
        <v>1</v>
      </c>
      <c r="X24" s="9">
        <v>1</v>
      </c>
      <c r="Y24" s="16">
        <f t="shared" si="16"/>
        <v>78.800000000000011</v>
      </c>
      <c r="Z24" s="5"/>
      <c r="AA24" s="16">
        <v>175</v>
      </c>
      <c r="AB24" s="16">
        <f t="shared" si="19"/>
        <v>150.001</v>
      </c>
      <c r="AC24" s="91">
        <f t="shared" si="20"/>
        <v>175</v>
      </c>
      <c r="AD24" s="5"/>
      <c r="AE24" s="37" t="str">
        <f>IF(AF3="Texas Energy Experts","0.4% DB High Temp (°F)","2% DB High Temp (°F)")</f>
        <v>2% DB High Temp (°F)</v>
      </c>
      <c r="AF24" s="207">
        <f>(AF22*1.8)+32</f>
        <v>77</v>
      </c>
      <c r="AH24" s="32"/>
      <c r="AI24" s="32"/>
      <c r="AJ24" s="32"/>
      <c r="AK24" s="32"/>
      <c r="AL24" s="32"/>
      <c r="AM24" s="32"/>
      <c r="AN24" s="32"/>
      <c r="AO24" s="206"/>
      <c r="AP24" s="206"/>
      <c r="AQ24" s="206"/>
      <c r="AR24" s="206"/>
      <c r="AS24" s="206"/>
      <c r="AT24" s="2"/>
      <c r="AU24" s="206"/>
      <c r="AV24" s="206"/>
      <c r="AW24" s="206"/>
      <c r="AX24" s="206"/>
      <c r="AY24" s="206"/>
      <c r="AZ24" s="206"/>
      <c r="BK24" s="245" t="s">
        <v>542</v>
      </c>
      <c r="BL24" s="30"/>
      <c r="BM24" s="247" t="s">
        <v>600</v>
      </c>
      <c r="BN24" s="30"/>
      <c r="BO24" s="30"/>
      <c r="BP24" s="30"/>
      <c r="BQ24" s="35" t="s">
        <v>198</v>
      </c>
      <c r="BR24" s="36" t="s">
        <v>199</v>
      </c>
      <c r="BS24" s="36">
        <v>5250</v>
      </c>
      <c r="BT24" s="30"/>
      <c r="BU24" s="35" t="s">
        <v>198</v>
      </c>
      <c r="BV24" s="36" t="s">
        <v>199</v>
      </c>
      <c r="BW24" s="36">
        <v>5250</v>
      </c>
    </row>
    <row r="25" spans="2:99" ht="15" customHeight="1" x14ac:dyDescent="0.2">
      <c r="B25" s="92">
        <v>800</v>
      </c>
      <c r="C25" s="98">
        <v>5000.0010000000002</v>
      </c>
      <c r="D25" s="98">
        <v>6000</v>
      </c>
      <c r="E25" s="5"/>
      <c r="F25" s="462">
        <v>600</v>
      </c>
      <c r="G25" s="451"/>
      <c r="H25" s="16">
        <f t="shared" si="14"/>
        <v>380.00099999999998</v>
      </c>
      <c r="I25" s="91">
        <v>420</v>
      </c>
      <c r="J25" s="5"/>
      <c r="K25" s="462">
        <v>600</v>
      </c>
      <c r="L25" s="451"/>
      <c r="M25" s="16">
        <f t="shared" si="15"/>
        <v>620.00099999999998</v>
      </c>
      <c r="N25" s="91">
        <v>690</v>
      </c>
      <c r="O25" s="5"/>
      <c r="P25" s="475"/>
      <c r="Q25" s="476"/>
      <c r="R25" s="476"/>
      <c r="S25" s="477"/>
      <c r="T25" s="5"/>
      <c r="U25" s="16">
        <f t="shared" si="18"/>
        <v>27</v>
      </c>
      <c r="V25" s="9">
        <v>1</v>
      </c>
      <c r="W25" s="10">
        <v>1</v>
      </c>
      <c r="X25" s="9">
        <v>1</v>
      </c>
      <c r="Y25" s="16">
        <f t="shared" si="16"/>
        <v>80.599999999999994</v>
      </c>
      <c r="Z25" s="5"/>
      <c r="AA25" s="16">
        <v>200</v>
      </c>
      <c r="AB25" s="16">
        <f t="shared" si="19"/>
        <v>175.001</v>
      </c>
      <c r="AC25" s="91">
        <f t="shared" si="20"/>
        <v>200</v>
      </c>
      <c r="AD25" s="5"/>
      <c r="AE25" s="37" t="s">
        <v>226</v>
      </c>
      <c r="AF25" s="207">
        <f>(AF23*1.8)+32</f>
        <v>-13</v>
      </c>
      <c r="AH25" s="206"/>
      <c r="AI25" s="206"/>
      <c r="AJ25" s="206"/>
      <c r="AK25" s="206"/>
      <c r="AL25" s="206"/>
      <c r="AM25" s="206"/>
      <c r="AN25" s="206"/>
      <c r="AO25" s="206"/>
      <c r="AP25" s="206"/>
      <c r="AQ25" s="206"/>
      <c r="AR25" s="206"/>
      <c r="AS25" s="206"/>
      <c r="AT25" s="5"/>
      <c r="AU25" s="206"/>
      <c r="AV25" s="206"/>
      <c r="AW25" s="206"/>
      <c r="AX25" s="206"/>
      <c r="AY25" s="206"/>
      <c r="AZ25" s="206"/>
      <c r="BK25" s="245" t="s">
        <v>599</v>
      </c>
      <c r="BL25" s="30"/>
      <c r="BM25" s="35" t="s">
        <v>601</v>
      </c>
      <c r="BN25" s="30"/>
      <c r="BO25" s="30"/>
      <c r="BP25" s="30"/>
      <c r="BQ25" s="35" t="s">
        <v>201</v>
      </c>
      <c r="BR25" s="36" t="s">
        <v>202</v>
      </c>
      <c r="BS25" s="36">
        <v>5250</v>
      </c>
      <c r="BT25" s="30"/>
      <c r="BU25" s="35" t="s">
        <v>201</v>
      </c>
      <c r="BV25" s="36" t="s">
        <v>202</v>
      </c>
      <c r="BW25" s="36">
        <v>5250</v>
      </c>
    </row>
    <row r="26" spans="2:99" ht="15" customHeight="1" x14ac:dyDescent="0.2">
      <c r="B26" s="5"/>
      <c r="C26" s="5"/>
      <c r="D26" s="5"/>
      <c r="E26" s="5"/>
      <c r="F26" s="462">
        <v>700</v>
      </c>
      <c r="G26" s="451"/>
      <c r="H26" s="16">
        <f t="shared" si="14"/>
        <v>420.00099999999998</v>
      </c>
      <c r="I26" s="91">
        <v>460</v>
      </c>
      <c r="J26" s="5"/>
      <c r="K26" s="462">
        <v>700</v>
      </c>
      <c r="L26" s="451"/>
      <c r="M26" s="16">
        <f t="shared" si="15"/>
        <v>690.00099999999998</v>
      </c>
      <c r="N26" s="91">
        <v>755</v>
      </c>
      <c r="O26" s="5"/>
      <c r="P26" s="471" t="s">
        <v>18</v>
      </c>
      <c r="Q26" s="471"/>
      <c r="R26" s="490" t="s">
        <v>25</v>
      </c>
      <c r="S26" s="491"/>
      <c r="T26" s="5"/>
      <c r="U26" s="16">
        <f t="shared" si="18"/>
        <v>28</v>
      </c>
      <c r="V26" s="9">
        <v>1</v>
      </c>
      <c r="W26" s="10">
        <v>1</v>
      </c>
      <c r="X26" s="9">
        <v>1</v>
      </c>
      <c r="Y26" s="16">
        <f t="shared" si="16"/>
        <v>82.4</v>
      </c>
      <c r="Z26" s="5"/>
      <c r="AA26" s="16">
        <v>225</v>
      </c>
      <c r="AB26" s="16">
        <f t="shared" si="19"/>
        <v>200.001</v>
      </c>
      <c r="AC26" s="91">
        <f t="shared" si="20"/>
        <v>225</v>
      </c>
      <c r="AD26" s="5"/>
      <c r="AE26" s="37" t="s">
        <v>777</v>
      </c>
      <c r="AF26" s="207">
        <f>((AF22+33)*1.8)+32</f>
        <v>136.4</v>
      </c>
      <c r="AH26" s="206"/>
      <c r="AI26" s="206"/>
      <c r="AJ26" s="206"/>
      <c r="AK26" s="206"/>
      <c r="AL26" s="206"/>
      <c r="AM26" s="206"/>
      <c r="AN26" s="206"/>
      <c r="AO26" s="206"/>
      <c r="AP26" s="206"/>
      <c r="AQ26" s="206"/>
      <c r="AR26" s="206"/>
      <c r="AS26" s="206"/>
      <c r="AT26" s="291"/>
      <c r="AU26" s="206"/>
      <c r="AV26" s="206"/>
      <c r="AW26" s="206"/>
      <c r="AX26" s="206"/>
      <c r="AY26" s="206"/>
      <c r="AZ26" s="206"/>
      <c r="BK26" s="245"/>
      <c r="BL26" s="30"/>
      <c r="BM26" s="35" t="s">
        <v>194</v>
      </c>
      <c r="BN26" s="30"/>
      <c r="BO26" s="30"/>
      <c r="BP26" s="30"/>
      <c r="BQ26" s="35" t="s">
        <v>205</v>
      </c>
      <c r="BR26" s="36" t="s">
        <v>206</v>
      </c>
      <c r="BS26" s="36">
        <v>5250</v>
      </c>
      <c r="BT26" s="30"/>
      <c r="BU26" s="35" t="s">
        <v>205</v>
      </c>
      <c r="BV26" s="36" t="s">
        <v>206</v>
      </c>
      <c r="BW26" s="36">
        <v>5250</v>
      </c>
    </row>
    <row r="27" spans="2:99" ht="15" customHeight="1" x14ac:dyDescent="0.2">
      <c r="B27" s="5"/>
      <c r="C27" s="5"/>
      <c r="D27" s="5"/>
      <c r="E27" s="5"/>
      <c r="F27" s="462">
        <v>750</v>
      </c>
      <c r="G27" s="451"/>
      <c r="H27" s="16">
        <f t="shared" si="14"/>
        <v>460.00099999999998</v>
      </c>
      <c r="I27" s="91">
        <v>475</v>
      </c>
      <c r="J27" s="5"/>
      <c r="K27" s="462">
        <v>750</v>
      </c>
      <c r="L27" s="451"/>
      <c r="M27" s="16">
        <f t="shared" si="15"/>
        <v>755.00099999999998</v>
      </c>
      <c r="N27" s="91">
        <v>785</v>
      </c>
      <c r="O27" s="5"/>
      <c r="P27" s="469">
        <v>14</v>
      </c>
      <c r="Q27" s="470"/>
      <c r="R27" s="469">
        <v>9.7000000000000003E-3</v>
      </c>
      <c r="S27" s="470"/>
      <c r="T27" s="5"/>
      <c r="U27" s="16">
        <f t="shared" si="18"/>
        <v>29</v>
      </c>
      <c r="V27" s="9">
        <v>1</v>
      </c>
      <c r="W27" s="10">
        <v>1</v>
      </c>
      <c r="X27" s="9">
        <v>1</v>
      </c>
      <c r="Y27" s="16">
        <f t="shared" si="16"/>
        <v>84.2</v>
      </c>
      <c r="Z27" s="5"/>
      <c r="AA27" s="16">
        <v>250</v>
      </c>
      <c r="AB27" s="16">
        <f t="shared" si="19"/>
        <v>225.001</v>
      </c>
      <c r="AC27" s="91">
        <f t="shared" si="20"/>
        <v>250</v>
      </c>
      <c r="AD27" s="5"/>
      <c r="AE27" s="5"/>
      <c r="AF27" s="5"/>
      <c r="AH27" s="206"/>
      <c r="AI27" s="206"/>
      <c r="AJ27" s="206"/>
      <c r="AK27" s="206"/>
      <c r="AL27" s="206"/>
      <c r="AM27" s="206"/>
      <c r="AN27" s="206"/>
      <c r="AO27" s="206"/>
      <c r="AP27" s="206"/>
      <c r="AQ27" s="206"/>
      <c r="AR27" s="206"/>
      <c r="AS27" s="206"/>
      <c r="AT27" s="291"/>
      <c r="AU27" s="206"/>
      <c r="AV27" s="206"/>
      <c r="AW27" s="206"/>
      <c r="AX27" s="206"/>
      <c r="AY27" s="206"/>
      <c r="AZ27" s="206"/>
      <c r="BK27" s="245" t="s">
        <v>599</v>
      </c>
      <c r="BL27" s="30"/>
      <c r="BM27" s="35" t="s">
        <v>197</v>
      </c>
      <c r="BN27" s="30"/>
      <c r="BO27" s="30"/>
      <c r="BP27" s="30"/>
      <c r="BQ27" s="35" t="s">
        <v>212</v>
      </c>
      <c r="BR27" s="36" t="s">
        <v>208</v>
      </c>
      <c r="BS27" s="36">
        <v>5250</v>
      </c>
      <c r="BT27" s="30"/>
      <c r="BU27" s="35" t="s">
        <v>212</v>
      </c>
      <c r="BV27" s="36" t="s">
        <v>208</v>
      </c>
      <c r="BW27" s="36">
        <v>5250</v>
      </c>
    </row>
    <row r="28" spans="2:99" ht="15" customHeight="1" x14ac:dyDescent="0.2">
      <c r="B28" s="5"/>
      <c r="C28" s="5"/>
      <c r="D28" s="5"/>
      <c r="E28" s="5"/>
      <c r="F28" s="462">
        <v>800</v>
      </c>
      <c r="G28" s="451"/>
      <c r="H28" s="16">
        <f t="shared" si="14"/>
        <v>475.00099999999998</v>
      </c>
      <c r="I28" s="91">
        <v>490</v>
      </c>
      <c r="J28" s="5"/>
      <c r="K28" s="462">
        <v>800</v>
      </c>
      <c r="L28" s="451"/>
      <c r="M28" s="16">
        <f t="shared" si="15"/>
        <v>785.00099999999998</v>
      </c>
      <c r="N28" s="91">
        <v>815</v>
      </c>
      <c r="O28" s="5"/>
      <c r="P28" s="462">
        <v>12</v>
      </c>
      <c r="Q28" s="451"/>
      <c r="R28" s="462">
        <v>1.3299999999999999E-2</v>
      </c>
      <c r="S28" s="451"/>
      <c r="T28" s="5"/>
      <c r="U28" s="16">
        <f t="shared" si="18"/>
        <v>30</v>
      </c>
      <c r="V28" s="9">
        <v>1</v>
      </c>
      <c r="W28" s="10">
        <v>1</v>
      </c>
      <c r="X28" s="9">
        <v>1</v>
      </c>
      <c r="Y28" s="16">
        <f t="shared" si="16"/>
        <v>86</v>
      </c>
      <c r="Z28" s="5"/>
      <c r="AA28" s="16">
        <v>300</v>
      </c>
      <c r="AB28" s="16">
        <f t="shared" si="19"/>
        <v>250.001</v>
      </c>
      <c r="AC28" s="91">
        <f t="shared" si="20"/>
        <v>300</v>
      </c>
      <c r="AD28" s="5"/>
      <c r="AE28" s="5"/>
      <c r="AF28" s="5"/>
      <c r="AH28" s="206"/>
      <c r="AI28" s="206"/>
      <c r="AJ28" s="206"/>
      <c r="AK28" s="206"/>
      <c r="AL28" s="206"/>
      <c r="AM28" s="206"/>
      <c r="AN28" s="206"/>
      <c r="AO28" s="206"/>
      <c r="AP28" s="206"/>
      <c r="AQ28" s="206"/>
      <c r="AR28" s="206"/>
      <c r="AS28" s="206"/>
      <c r="AT28" s="5"/>
      <c r="AU28" s="206"/>
      <c r="AV28" s="206"/>
      <c r="AW28" s="206"/>
      <c r="AX28" s="206"/>
      <c r="AY28" s="206"/>
      <c r="AZ28" s="206"/>
      <c r="BC28" s="189"/>
      <c r="BD28" s="189"/>
      <c r="BK28" s="245" t="s">
        <v>576</v>
      </c>
      <c r="BL28" s="30"/>
      <c r="BM28" s="35" t="s">
        <v>200</v>
      </c>
      <c r="BN28" s="30"/>
      <c r="BO28" s="30"/>
      <c r="BP28" s="30"/>
      <c r="BQ28" s="35" t="s">
        <v>213</v>
      </c>
      <c r="BR28" s="36" t="s">
        <v>209</v>
      </c>
      <c r="BS28" s="36">
        <v>5250</v>
      </c>
      <c r="BT28" s="30"/>
      <c r="BU28" s="35" t="s">
        <v>213</v>
      </c>
      <c r="BV28" s="36" t="s">
        <v>209</v>
      </c>
      <c r="BW28" s="36">
        <v>5250</v>
      </c>
    </row>
    <row r="29" spans="2:99" ht="15" customHeight="1" x14ac:dyDescent="0.2">
      <c r="B29" s="5"/>
      <c r="C29" s="5"/>
      <c r="D29" s="5"/>
      <c r="E29" s="5"/>
      <c r="F29" s="462">
        <v>900</v>
      </c>
      <c r="G29" s="451"/>
      <c r="H29" s="16">
        <f t="shared" si="14"/>
        <v>490.00099999999998</v>
      </c>
      <c r="I29" s="91">
        <v>520</v>
      </c>
      <c r="J29" s="5"/>
      <c r="K29" s="462">
        <v>900</v>
      </c>
      <c r="L29" s="451"/>
      <c r="M29" s="16">
        <f t="shared" si="15"/>
        <v>815.00099999999998</v>
      </c>
      <c r="N29" s="91">
        <v>870</v>
      </c>
      <c r="O29" s="5"/>
      <c r="P29" s="462">
        <v>10</v>
      </c>
      <c r="Q29" s="451"/>
      <c r="R29" s="462">
        <v>2.1100000000000001E-2</v>
      </c>
      <c r="S29" s="451"/>
      <c r="T29" s="5"/>
      <c r="U29" s="16">
        <f t="shared" si="18"/>
        <v>31</v>
      </c>
      <c r="V29" s="9">
        <v>0.91</v>
      </c>
      <c r="W29" s="10">
        <v>0.94</v>
      </c>
      <c r="X29" s="9">
        <v>0.96</v>
      </c>
      <c r="Y29" s="16">
        <f t="shared" si="16"/>
        <v>87.800000000000011</v>
      </c>
      <c r="Z29" s="5"/>
      <c r="AA29" s="16">
        <v>350</v>
      </c>
      <c r="AB29" s="16">
        <f t="shared" si="19"/>
        <v>300.00099999999998</v>
      </c>
      <c r="AC29" s="91">
        <f t="shared" si="20"/>
        <v>350</v>
      </c>
      <c r="AD29" s="5"/>
      <c r="AE29" s="5"/>
      <c r="AF29" s="5"/>
      <c r="AH29" s="206"/>
      <c r="AI29" s="206"/>
      <c r="AJ29" s="206"/>
      <c r="AK29" s="206"/>
      <c r="AL29" s="206"/>
      <c r="AM29" s="206"/>
      <c r="AN29" s="206"/>
      <c r="AO29" s="206"/>
      <c r="AP29" s="206"/>
      <c r="AQ29" s="206"/>
      <c r="AR29" s="206"/>
      <c r="AS29" s="206"/>
      <c r="AU29" s="206"/>
      <c r="AV29" s="206"/>
      <c r="AW29" s="206"/>
      <c r="AX29" s="206"/>
      <c r="AY29" s="206"/>
      <c r="AZ29" s="206"/>
      <c r="BK29" s="245" t="s">
        <v>97</v>
      </c>
      <c r="BL29" s="30"/>
      <c r="BM29" s="35" t="s">
        <v>204</v>
      </c>
      <c r="BN29" s="30"/>
      <c r="BO29" s="30"/>
      <c r="BP29" s="30"/>
      <c r="BQ29" s="35" t="s">
        <v>196</v>
      </c>
      <c r="BR29" s="36" t="s">
        <v>211</v>
      </c>
      <c r="BS29" s="36">
        <v>5250</v>
      </c>
      <c r="BT29" s="30"/>
      <c r="BU29" s="35" t="s">
        <v>196</v>
      </c>
      <c r="BV29" s="36" t="s">
        <v>211</v>
      </c>
      <c r="BW29" s="36">
        <v>5250</v>
      </c>
    </row>
    <row r="30" spans="2:99" ht="15" customHeight="1" x14ac:dyDescent="0.2">
      <c r="B30" s="5"/>
      <c r="C30" s="5"/>
      <c r="D30" s="5"/>
      <c r="E30" s="5"/>
      <c r="F30" s="462">
        <v>1000</v>
      </c>
      <c r="G30" s="451"/>
      <c r="H30" s="16">
        <f t="shared" si="14"/>
        <v>520.00099999999998</v>
      </c>
      <c r="I30" s="91">
        <v>545</v>
      </c>
      <c r="J30" s="5"/>
      <c r="K30" s="462">
        <v>1000</v>
      </c>
      <c r="L30" s="451"/>
      <c r="M30" s="16">
        <f t="shared" si="15"/>
        <v>870.00099999999998</v>
      </c>
      <c r="N30" s="91">
        <v>935</v>
      </c>
      <c r="O30" s="5"/>
      <c r="P30" s="462">
        <v>8</v>
      </c>
      <c r="Q30" s="451"/>
      <c r="R30" s="462">
        <v>3.6600000000000001E-2</v>
      </c>
      <c r="S30" s="451"/>
      <c r="T30" s="5"/>
      <c r="U30" s="16">
        <f t="shared" si="18"/>
        <v>32</v>
      </c>
      <c r="V30" s="9">
        <v>0.91</v>
      </c>
      <c r="W30" s="10">
        <v>0.94</v>
      </c>
      <c r="X30" s="9">
        <v>0.96</v>
      </c>
      <c r="Y30" s="16">
        <f t="shared" si="16"/>
        <v>89.6</v>
      </c>
      <c r="Z30" s="5"/>
      <c r="AA30" s="16">
        <v>400</v>
      </c>
      <c r="AB30" s="16">
        <f t="shared" si="19"/>
        <v>350.00099999999998</v>
      </c>
      <c r="AC30" s="91">
        <f t="shared" si="20"/>
        <v>400</v>
      </c>
      <c r="AD30" s="5"/>
      <c r="AE30" s="5"/>
      <c r="AF30" s="5"/>
      <c r="AH30" s="206"/>
      <c r="AI30" s="206"/>
      <c r="AJ30" s="206"/>
      <c r="AK30" s="206"/>
      <c r="AL30" s="206"/>
      <c r="AM30" s="206"/>
      <c r="AN30" s="206"/>
      <c r="AO30" s="206"/>
      <c r="AP30" s="206"/>
      <c r="AQ30" s="206"/>
      <c r="AR30" s="206"/>
      <c r="AS30" s="206"/>
      <c r="AT30" s="2"/>
      <c r="AU30" s="206"/>
      <c r="AV30" s="206"/>
      <c r="AW30" s="206"/>
      <c r="AX30" s="206"/>
      <c r="AY30" s="206"/>
      <c r="AZ30" s="206"/>
      <c r="BK30" s="245" t="s">
        <v>589</v>
      </c>
      <c r="BL30" s="30"/>
      <c r="BM30" s="40" t="s">
        <v>207</v>
      </c>
      <c r="BN30" s="30"/>
      <c r="BO30" s="30"/>
      <c r="BP30" s="30"/>
      <c r="BQ30" s="35" t="s">
        <v>199</v>
      </c>
      <c r="BR30" s="36" t="s">
        <v>192</v>
      </c>
      <c r="BS30" s="36">
        <v>5700</v>
      </c>
      <c r="BT30" s="30"/>
      <c r="BU30" s="35" t="s">
        <v>199</v>
      </c>
      <c r="BV30" s="36" t="s">
        <v>192</v>
      </c>
      <c r="BW30" s="36">
        <v>5700</v>
      </c>
    </row>
    <row r="31" spans="2:99" ht="15" customHeight="1" x14ac:dyDescent="0.2">
      <c r="B31" s="5"/>
      <c r="C31" s="5"/>
      <c r="D31" s="5"/>
      <c r="E31" s="5"/>
      <c r="F31" s="462">
        <v>1250</v>
      </c>
      <c r="G31" s="451"/>
      <c r="H31" s="16">
        <f t="shared" si="14"/>
        <v>545.00099999999998</v>
      </c>
      <c r="I31" s="91">
        <v>590</v>
      </c>
      <c r="J31" s="5"/>
      <c r="K31" s="462">
        <v>1250</v>
      </c>
      <c r="L31" s="451"/>
      <c r="M31" s="16">
        <f t="shared" si="15"/>
        <v>935.00099999999998</v>
      </c>
      <c r="N31" s="91">
        <v>1065</v>
      </c>
      <c r="O31" s="5"/>
      <c r="P31" s="462">
        <v>6</v>
      </c>
      <c r="Q31" s="451"/>
      <c r="R31" s="462">
        <v>5.0700000000000002E-2</v>
      </c>
      <c r="S31" s="451"/>
      <c r="T31" s="5"/>
      <c r="U31" s="16">
        <f t="shared" si="18"/>
        <v>33</v>
      </c>
      <c r="V31" s="9">
        <v>0.91</v>
      </c>
      <c r="W31" s="10">
        <v>0.94</v>
      </c>
      <c r="X31" s="9">
        <v>0.96</v>
      </c>
      <c r="Y31" s="16">
        <f t="shared" si="16"/>
        <v>91.4</v>
      </c>
      <c r="Z31" s="5"/>
      <c r="AA31" s="16">
        <v>450</v>
      </c>
      <c r="AB31" s="16">
        <f t="shared" si="19"/>
        <v>400.00099999999998</v>
      </c>
      <c r="AC31" s="91">
        <f t="shared" si="20"/>
        <v>450</v>
      </c>
      <c r="AD31" s="5"/>
      <c r="AE31" s="5"/>
      <c r="AF31" s="5"/>
      <c r="AH31" s="206"/>
      <c r="AI31" s="206"/>
      <c r="AJ31" s="206"/>
      <c r="AK31" s="206"/>
      <c r="AL31" s="206"/>
      <c r="AM31" s="206"/>
      <c r="AN31" s="206"/>
      <c r="AO31" s="206"/>
      <c r="AP31" s="206"/>
      <c r="AQ31" s="206"/>
      <c r="AR31" s="206"/>
      <c r="AS31" s="206"/>
      <c r="AT31" s="5"/>
      <c r="AU31" s="292"/>
      <c r="AV31" s="292"/>
      <c r="AW31" s="292"/>
      <c r="AX31" s="292"/>
      <c r="AY31" s="292"/>
      <c r="AZ31" s="292"/>
      <c r="BA31" s="292"/>
      <c r="BB31" s="292"/>
      <c r="BC31" s="292"/>
      <c r="BD31" s="292"/>
      <c r="BK31" s="245" t="s">
        <v>576</v>
      </c>
      <c r="BL31" s="30"/>
      <c r="BM31" s="30"/>
      <c r="BN31" s="30"/>
      <c r="BO31" s="30"/>
      <c r="BP31" s="30"/>
      <c r="BQ31" s="35" t="s">
        <v>202</v>
      </c>
      <c r="BR31" s="36" t="s">
        <v>195</v>
      </c>
      <c r="BS31" s="36">
        <v>5700</v>
      </c>
      <c r="BT31" s="30"/>
      <c r="BU31" s="35" t="s">
        <v>202</v>
      </c>
      <c r="BV31" s="36" t="s">
        <v>195</v>
      </c>
      <c r="BW31" s="36">
        <v>5700</v>
      </c>
    </row>
    <row r="32" spans="2:99" ht="15" customHeight="1" x14ac:dyDescent="0.2">
      <c r="B32" s="5"/>
      <c r="C32" s="5"/>
      <c r="D32" s="5"/>
      <c r="E32" s="5"/>
      <c r="F32" s="462">
        <v>1500</v>
      </c>
      <c r="G32" s="451"/>
      <c r="H32" s="16">
        <f t="shared" si="14"/>
        <v>590.00099999999998</v>
      </c>
      <c r="I32" s="91">
        <v>625</v>
      </c>
      <c r="J32" s="5"/>
      <c r="K32" s="462">
        <v>1500</v>
      </c>
      <c r="L32" s="451"/>
      <c r="M32" s="16">
        <f t="shared" si="15"/>
        <v>1065.001</v>
      </c>
      <c r="N32" s="91">
        <v>1175</v>
      </c>
      <c r="O32" s="5"/>
      <c r="P32" s="462">
        <v>4</v>
      </c>
      <c r="Q32" s="451"/>
      <c r="R32" s="462">
        <v>8.2400000000000001E-2</v>
      </c>
      <c r="S32" s="451"/>
      <c r="T32" s="5"/>
      <c r="U32" s="16">
        <f t="shared" si="18"/>
        <v>34</v>
      </c>
      <c r="V32" s="9">
        <v>0.91</v>
      </c>
      <c r="W32" s="10">
        <v>0.94</v>
      </c>
      <c r="X32" s="9">
        <v>0.96</v>
      </c>
      <c r="Y32" s="16">
        <f t="shared" si="16"/>
        <v>93.2</v>
      </c>
      <c r="Z32" s="5"/>
      <c r="AA32" s="16">
        <v>500</v>
      </c>
      <c r="AB32" s="16">
        <f t="shared" si="19"/>
        <v>450.00099999999998</v>
      </c>
      <c r="AC32" s="91">
        <f t="shared" si="20"/>
        <v>500</v>
      </c>
      <c r="AD32" s="5"/>
      <c r="AE32" s="5"/>
      <c r="AF32" s="5"/>
      <c r="AH32" s="206"/>
      <c r="AI32" s="206"/>
      <c r="AJ32" s="206"/>
      <c r="AK32" s="206"/>
      <c r="AL32" s="206"/>
      <c r="AM32" s="206"/>
      <c r="AN32" s="206"/>
      <c r="AO32" s="206"/>
      <c r="AP32" s="206"/>
      <c r="AQ32" s="206"/>
      <c r="AR32" s="206"/>
      <c r="AS32" s="206"/>
      <c r="AT32" s="291"/>
      <c r="AU32" s="292"/>
      <c r="AV32" s="292"/>
      <c r="AW32" s="292"/>
      <c r="AX32" s="292"/>
      <c r="AY32" s="292"/>
      <c r="AZ32" s="292"/>
      <c r="BA32" s="292"/>
      <c r="BB32" s="292"/>
      <c r="BC32" s="292"/>
      <c r="BD32" s="292"/>
      <c r="BK32" s="245"/>
      <c r="BL32" s="30"/>
      <c r="BM32" s="30"/>
      <c r="BN32" s="30"/>
      <c r="BO32" s="30"/>
      <c r="BP32" s="30"/>
      <c r="BQ32" s="35" t="s">
        <v>206</v>
      </c>
      <c r="BR32" s="36" t="s">
        <v>198</v>
      </c>
      <c r="BS32" s="36">
        <v>5700</v>
      </c>
      <c r="BT32" s="30"/>
      <c r="BU32" s="35" t="s">
        <v>206</v>
      </c>
      <c r="BV32" s="36" t="s">
        <v>198</v>
      </c>
      <c r="BW32" s="36">
        <v>5700</v>
      </c>
    </row>
    <row r="33" spans="2:99" ht="15" customHeight="1" x14ac:dyDescent="0.2">
      <c r="B33" s="5"/>
      <c r="C33" s="5"/>
      <c r="D33" s="5"/>
      <c r="E33" s="5"/>
      <c r="F33" s="462">
        <v>1750</v>
      </c>
      <c r="G33" s="451"/>
      <c r="H33" s="16">
        <f t="shared" si="14"/>
        <v>625.00099999999998</v>
      </c>
      <c r="I33" s="91">
        <v>650</v>
      </c>
      <c r="J33" s="5"/>
      <c r="K33" s="462">
        <v>1750</v>
      </c>
      <c r="L33" s="451"/>
      <c r="M33" s="16">
        <f t="shared" si="15"/>
        <v>1175.001</v>
      </c>
      <c r="N33" s="91">
        <v>1280</v>
      </c>
      <c r="O33" s="5"/>
      <c r="P33" s="462">
        <v>3</v>
      </c>
      <c r="Q33" s="451"/>
      <c r="R33" s="462">
        <v>9.7299999999999998E-2</v>
      </c>
      <c r="S33" s="451"/>
      <c r="T33" s="5"/>
      <c r="U33" s="16">
        <f t="shared" si="18"/>
        <v>35</v>
      </c>
      <c r="V33" s="9">
        <v>0.91</v>
      </c>
      <c r="W33" s="10">
        <v>0.94</v>
      </c>
      <c r="X33" s="9">
        <v>0.96</v>
      </c>
      <c r="Y33" s="16">
        <f t="shared" si="16"/>
        <v>95</v>
      </c>
      <c r="Z33" s="5"/>
      <c r="AA33" s="16">
        <v>600</v>
      </c>
      <c r="AB33" s="16">
        <f t="shared" si="19"/>
        <v>500.00099999999998</v>
      </c>
      <c r="AC33" s="91">
        <f t="shared" si="20"/>
        <v>600</v>
      </c>
      <c r="AD33" s="5"/>
      <c r="AE33" s="5"/>
      <c r="AF33" s="5"/>
      <c r="AH33" s="206"/>
      <c r="AI33" s="206"/>
      <c r="AJ33" s="206"/>
      <c r="AK33" s="206"/>
      <c r="AL33" s="206"/>
      <c r="AM33" s="206"/>
      <c r="AN33" s="206"/>
      <c r="AO33" s="206"/>
      <c r="AP33" s="206"/>
      <c r="AQ33" s="206"/>
      <c r="AR33" s="206"/>
      <c r="AS33" s="206"/>
      <c r="AT33" s="291"/>
      <c r="AU33" s="292"/>
      <c r="AV33" s="292"/>
      <c r="AW33" s="292"/>
      <c r="AX33" s="292"/>
      <c r="AY33" s="292"/>
      <c r="AZ33" s="292"/>
      <c r="BA33" s="292"/>
      <c r="BB33" s="292"/>
      <c r="BC33" s="292"/>
      <c r="BD33" s="292"/>
      <c r="BK33" s="245" t="s">
        <v>603</v>
      </c>
      <c r="BL33" s="30"/>
      <c r="BM33" s="30"/>
      <c r="BN33" s="30"/>
      <c r="BO33" s="30"/>
      <c r="BP33" s="30"/>
      <c r="BQ33" s="35" t="s">
        <v>208</v>
      </c>
      <c r="BR33" s="36" t="s">
        <v>201</v>
      </c>
      <c r="BS33" s="36">
        <v>5700</v>
      </c>
      <c r="BT33" s="30"/>
      <c r="BU33" s="35" t="s">
        <v>208</v>
      </c>
      <c r="BV33" s="36" t="s">
        <v>201</v>
      </c>
      <c r="BW33" s="36">
        <v>5700</v>
      </c>
    </row>
    <row r="34" spans="2:99" ht="15" customHeight="1" x14ac:dyDescent="0.2">
      <c r="B34" s="5"/>
      <c r="C34" s="5"/>
      <c r="D34" s="5"/>
      <c r="E34" s="5"/>
      <c r="F34" s="480">
        <v>2000</v>
      </c>
      <c r="G34" s="481"/>
      <c r="H34" s="92">
        <f t="shared" si="14"/>
        <v>650.00099999999998</v>
      </c>
      <c r="I34" s="98">
        <v>665</v>
      </c>
      <c r="J34" s="5"/>
      <c r="K34" s="480">
        <v>2000</v>
      </c>
      <c r="L34" s="481"/>
      <c r="M34" s="92">
        <f t="shared" si="15"/>
        <v>1280.001</v>
      </c>
      <c r="N34" s="98">
        <v>1385</v>
      </c>
      <c r="O34" s="5"/>
      <c r="P34" s="462">
        <v>2</v>
      </c>
      <c r="Q34" s="451"/>
      <c r="R34" s="462">
        <v>0.1158</v>
      </c>
      <c r="S34" s="451"/>
      <c r="T34" s="5"/>
      <c r="U34" s="16">
        <f t="shared" si="18"/>
        <v>36</v>
      </c>
      <c r="V34" s="9">
        <v>0.82</v>
      </c>
      <c r="W34" s="10">
        <v>0.88</v>
      </c>
      <c r="X34" s="9">
        <v>0.91</v>
      </c>
      <c r="Y34" s="16">
        <f t="shared" si="16"/>
        <v>96.8</v>
      </c>
      <c r="Z34" s="5"/>
      <c r="AA34" s="16">
        <v>700</v>
      </c>
      <c r="AB34" s="16">
        <f t="shared" si="19"/>
        <v>600.00099999999998</v>
      </c>
      <c r="AC34" s="91">
        <f t="shared" si="20"/>
        <v>700</v>
      </c>
      <c r="AD34" s="5"/>
      <c r="AE34" s="5"/>
      <c r="AF34" s="5"/>
      <c r="AH34" s="206"/>
      <c r="AI34" s="206"/>
      <c r="AJ34" s="206"/>
      <c r="AK34" s="206"/>
      <c r="AL34" s="206"/>
      <c r="AM34" s="206"/>
      <c r="AN34" s="206"/>
      <c r="AO34" s="206"/>
      <c r="AP34" s="206"/>
      <c r="AQ34" s="206"/>
      <c r="AR34" s="206"/>
      <c r="AS34" s="206"/>
      <c r="AT34" s="5"/>
      <c r="AU34" s="292"/>
      <c r="AV34" s="292"/>
      <c r="AW34" s="292"/>
      <c r="AX34" s="292"/>
      <c r="AY34" s="292"/>
      <c r="AZ34" s="292"/>
      <c r="BA34" s="292"/>
      <c r="BB34" s="292"/>
      <c r="BC34" s="292"/>
      <c r="BD34" s="292"/>
      <c r="BK34" s="245" t="s">
        <v>587</v>
      </c>
      <c r="BL34" s="30"/>
      <c r="BM34" s="30"/>
      <c r="BN34" s="30"/>
      <c r="BO34" s="30"/>
      <c r="BP34" s="30"/>
      <c r="BQ34" s="35" t="s">
        <v>209</v>
      </c>
      <c r="BR34" s="36" t="s">
        <v>205</v>
      </c>
      <c r="BS34" s="36">
        <v>6000</v>
      </c>
      <c r="BT34" s="30"/>
      <c r="BU34" s="35" t="s">
        <v>209</v>
      </c>
      <c r="BV34" s="36" t="s">
        <v>205</v>
      </c>
      <c r="BW34" s="36">
        <v>6000</v>
      </c>
      <c r="CU34" s="5"/>
    </row>
    <row r="35" spans="2:99" ht="15" customHeight="1" x14ac:dyDescent="0.2">
      <c r="B35" s="5"/>
      <c r="C35" s="5"/>
      <c r="D35" s="5"/>
      <c r="E35" s="5"/>
      <c r="J35" s="5"/>
      <c r="K35" s="5"/>
      <c r="L35" s="5"/>
      <c r="M35" s="5"/>
      <c r="N35" s="5"/>
      <c r="O35" s="5"/>
      <c r="P35" s="462">
        <v>1</v>
      </c>
      <c r="Q35" s="451"/>
      <c r="R35" s="462">
        <v>0.15620000000000001</v>
      </c>
      <c r="S35" s="451"/>
      <c r="T35" s="5"/>
      <c r="U35" s="16">
        <f t="shared" si="18"/>
        <v>37</v>
      </c>
      <c r="V35" s="9">
        <v>0.82</v>
      </c>
      <c r="W35" s="10">
        <v>0.88</v>
      </c>
      <c r="X35" s="9">
        <v>0.91</v>
      </c>
      <c r="Y35" s="16">
        <f t="shared" si="16"/>
        <v>98.600000000000009</v>
      </c>
      <c r="Z35" s="5"/>
      <c r="AA35" s="16">
        <v>800</v>
      </c>
      <c r="AB35" s="16">
        <f t="shared" si="19"/>
        <v>700.00099999999998</v>
      </c>
      <c r="AC35" s="91">
        <f t="shared" si="20"/>
        <v>800</v>
      </c>
      <c r="AD35" s="5"/>
      <c r="AE35" s="5"/>
      <c r="AF35" s="5"/>
      <c r="AU35" s="292"/>
      <c r="AV35" s="292"/>
      <c r="AW35" s="292"/>
      <c r="AX35" s="292"/>
      <c r="AY35" s="292"/>
      <c r="AZ35" s="292"/>
      <c r="BA35" s="292"/>
      <c r="BB35" s="292"/>
      <c r="BC35" s="292"/>
      <c r="BD35" s="292"/>
      <c r="BK35" s="245" t="s">
        <v>589</v>
      </c>
      <c r="BL35" s="30"/>
      <c r="BM35" s="30"/>
      <c r="BN35" s="30"/>
      <c r="BO35" s="30"/>
      <c r="BP35" s="30"/>
      <c r="BQ35" s="40" t="s">
        <v>211</v>
      </c>
      <c r="BR35" s="36" t="s">
        <v>212</v>
      </c>
      <c r="BS35" s="36">
        <v>6000</v>
      </c>
      <c r="BT35" s="30"/>
      <c r="BU35" s="40" t="s">
        <v>211</v>
      </c>
      <c r="BV35" s="36" t="s">
        <v>212</v>
      </c>
      <c r="BW35" s="36">
        <v>6000</v>
      </c>
      <c r="CU35" s="5"/>
    </row>
    <row r="36" spans="2:99" ht="15" customHeight="1" x14ac:dyDescent="0.2">
      <c r="B36" s="5"/>
      <c r="C36" s="5"/>
      <c r="D36" s="5"/>
      <c r="E36" s="5"/>
      <c r="J36" s="5"/>
      <c r="K36" s="5"/>
      <c r="L36" s="5"/>
      <c r="M36" s="5"/>
      <c r="N36" s="5"/>
      <c r="O36" s="5"/>
      <c r="P36" s="448" t="s">
        <v>19</v>
      </c>
      <c r="Q36" s="449"/>
      <c r="R36" s="462">
        <v>0.1855</v>
      </c>
      <c r="S36" s="451"/>
      <c r="T36" s="5"/>
      <c r="U36" s="16">
        <f t="shared" si="18"/>
        <v>38</v>
      </c>
      <c r="V36" s="9">
        <v>0.82</v>
      </c>
      <c r="W36" s="10">
        <v>0.88</v>
      </c>
      <c r="X36" s="9">
        <v>0.91</v>
      </c>
      <c r="Y36" s="16">
        <f t="shared" si="16"/>
        <v>100.4</v>
      </c>
      <c r="Z36" s="5"/>
      <c r="AA36" s="16">
        <v>1000</v>
      </c>
      <c r="AB36" s="16">
        <f t="shared" si="19"/>
        <v>800.00099999999998</v>
      </c>
      <c r="AC36" s="91">
        <f t="shared" si="20"/>
        <v>1000</v>
      </c>
      <c r="AD36" s="5"/>
      <c r="AE36" s="5"/>
      <c r="AF36" s="5"/>
      <c r="AU36" s="292"/>
      <c r="AV36" s="292"/>
      <c r="AW36" s="292"/>
      <c r="AX36" s="292"/>
      <c r="AY36" s="292"/>
      <c r="AZ36" s="292"/>
      <c r="BA36" s="292"/>
      <c r="BB36" s="292"/>
      <c r="BC36" s="292"/>
      <c r="BD36" s="292"/>
      <c r="BK36" s="245" t="s">
        <v>587</v>
      </c>
      <c r="BL36" s="30"/>
      <c r="BM36" s="30"/>
      <c r="BN36" s="30"/>
      <c r="BO36" s="30"/>
      <c r="BP36" s="30"/>
      <c r="BQ36" s="30"/>
      <c r="BR36" s="29" t="s">
        <v>213</v>
      </c>
      <c r="BS36" s="29">
        <v>6000</v>
      </c>
      <c r="BT36" s="30"/>
      <c r="BU36" s="30"/>
      <c r="BV36" s="29" t="s">
        <v>213</v>
      </c>
      <c r="BW36" s="29">
        <v>6000</v>
      </c>
      <c r="CU36" s="5"/>
    </row>
    <row r="37" spans="2:99" ht="15" customHeight="1" x14ac:dyDescent="0.2">
      <c r="B37" s="5"/>
      <c r="C37" s="5"/>
      <c r="D37" s="5"/>
      <c r="E37" s="5"/>
      <c r="J37" s="5"/>
      <c r="K37" s="5"/>
      <c r="L37" s="5"/>
      <c r="M37" s="5"/>
      <c r="N37" s="5"/>
      <c r="O37" s="5"/>
      <c r="P37" s="448" t="s">
        <v>29</v>
      </c>
      <c r="Q37" s="479"/>
      <c r="R37" s="462">
        <v>0.2223</v>
      </c>
      <c r="S37" s="451"/>
      <c r="T37" s="5"/>
      <c r="U37" s="16">
        <f t="shared" si="18"/>
        <v>39</v>
      </c>
      <c r="V37" s="9">
        <v>0.82</v>
      </c>
      <c r="W37" s="10">
        <v>0.88</v>
      </c>
      <c r="X37" s="9">
        <v>0.91</v>
      </c>
      <c r="Y37" s="16">
        <f t="shared" si="16"/>
        <v>102.2</v>
      </c>
      <c r="Z37" s="5"/>
      <c r="AA37" s="16">
        <v>1200</v>
      </c>
      <c r="AB37" s="16">
        <f t="shared" si="19"/>
        <v>1000.001</v>
      </c>
      <c r="AC37" s="91">
        <f t="shared" si="20"/>
        <v>1200</v>
      </c>
      <c r="AD37" s="5"/>
      <c r="AE37" s="5"/>
      <c r="AF37" s="5"/>
      <c r="AU37" s="292"/>
      <c r="AV37" s="292"/>
      <c r="AW37" s="292"/>
      <c r="AX37" s="292"/>
      <c r="AY37" s="292"/>
      <c r="AZ37" s="292"/>
      <c r="BA37" s="292"/>
      <c r="BB37" s="292"/>
      <c r="BC37" s="292"/>
      <c r="BD37" s="292"/>
      <c r="BK37" s="243"/>
      <c r="BL37" s="30"/>
      <c r="BM37" s="30"/>
      <c r="BN37" s="30"/>
      <c r="BO37" s="30"/>
      <c r="BP37" s="30"/>
      <c r="BQ37" s="30"/>
      <c r="BR37" s="30"/>
      <c r="BS37" s="30"/>
      <c r="BT37" s="30"/>
      <c r="CU37" s="5"/>
    </row>
    <row r="38" spans="2:99" ht="15" customHeight="1" x14ac:dyDescent="0.2">
      <c r="B38" s="5"/>
      <c r="C38" s="5"/>
      <c r="D38" s="5"/>
      <c r="E38" s="5"/>
      <c r="J38" s="5"/>
      <c r="K38" s="5"/>
      <c r="L38" s="5"/>
      <c r="M38" s="5"/>
      <c r="N38" s="5"/>
      <c r="O38" s="5"/>
      <c r="P38" s="448" t="s">
        <v>28</v>
      </c>
      <c r="Q38" s="479"/>
      <c r="R38" s="462">
        <v>0.26790000000000003</v>
      </c>
      <c r="S38" s="451"/>
      <c r="T38" s="5"/>
      <c r="U38" s="16">
        <f t="shared" si="18"/>
        <v>40</v>
      </c>
      <c r="V38" s="9">
        <v>0.82</v>
      </c>
      <c r="W38" s="10">
        <v>0.88</v>
      </c>
      <c r="X38" s="9">
        <v>0.91</v>
      </c>
      <c r="Y38" s="16">
        <f t="shared" si="16"/>
        <v>104</v>
      </c>
      <c r="Z38" s="5"/>
      <c r="AA38" s="16">
        <v>1600</v>
      </c>
      <c r="AB38" s="16">
        <f t="shared" si="19"/>
        <v>1200.001</v>
      </c>
      <c r="AC38" s="91">
        <f t="shared" si="20"/>
        <v>1600</v>
      </c>
      <c r="AD38" s="5"/>
      <c r="AE38" s="5"/>
      <c r="AF38" s="5"/>
      <c r="AU38" s="292"/>
      <c r="AV38" s="292"/>
      <c r="AW38" s="292"/>
      <c r="AX38" s="292"/>
      <c r="AY38" s="292"/>
      <c r="AZ38" s="292"/>
      <c r="BA38" s="292"/>
      <c r="BB38" s="292"/>
      <c r="BC38" s="292"/>
      <c r="BD38" s="292"/>
      <c r="BK38" s="243"/>
      <c r="BL38" s="30"/>
      <c r="BM38" s="30"/>
      <c r="BN38" s="30"/>
      <c r="BO38" s="30"/>
      <c r="BP38" s="30"/>
      <c r="BQ38" s="30"/>
      <c r="BR38" s="30"/>
      <c r="BS38" s="30"/>
      <c r="BT38" s="30"/>
    </row>
    <row r="39" spans="2:99" ht="15" customHeight="1" x14ac:dyDescent="0.2">
      <c r="B39" s="5"/>
      <c r="C39" s="5"/>
      <c r="D39" s="5"/>
      <c r="E39" s="5"/>
      <c r="J39" s="5"/>
      <c r="K39" s="5"/>
      <c r="L39" s="5"/>
      <c r="M39" s="5"/>
      <c r="N39" s="5"/>
      <c r="O39" s="5"/>
      <c r="P39" s="448" t="s">
        <v>27</v>
      </c>
      <c r="Q39" s="479"/>
      <c r="R39" s="462">
        <v>0.32369999999999999</v>
      </c>
      <c r="S39" s="451"/>
      <c r="T39" s="5"/>
      <c r="U39" s="16">
        <f t="shared" si="18"/>
        <v>41</v>
      </c>
      <c r="V39" s="9">
        <v>0.71</v>
      </c>
      <c r="W39" s="10">
        <v>0.82</v>
      </c>
      <c r="X39" s="9">
        <v>0.87</v>
      </c>
      <c r="Y39" s="16">
        <f t="shared" si="16"/>
        <v>105.8</v>
      </c>
      <c r="Z39" s="5"/>
      <c r="AA39" s="16">
        <v>2000</v>
      </c>
      <c r="AB39" s="16">
        <f t="shared" si="19"/>
        <v>1600.001</v>
      </c>
      <c r="AC39" s="91">
        <f t="shared" si="20"/>
        <v>2000</v>
      </c>
      <c r="AD39" s="5"/>
      <c r="AE39" s="5"/>
      <c r="AF39" s="5"/>
      <c r="AU39" s="292"/>
      <c r="AV39" s="292"/>
      <c r="AW39" s="292"/>
      <c r="AX39" s="292"/>
      <c r="AY39" s="292"/>
      <c r="AZ39" s="292"/>
      <c r="BA39" s="292"/>
      <c r="BB39" s="292"/>
      <c r="BC39" s="292"/>
      <c r="BD39" s="292"/>
      <c r="BK39" s="243"/>
      <c r="BL39" s="30"/>
      <c r="BM39" s="30"/>
      <c r="BN39" s="30"/>
      <c r="BO39" s="30"/>
      <c r="BP39" s="30"/>
      <c r="BQ39" s="30"/>
      <c r="BR39" s="30"/>
      <c r="BS39" s="30"/>
      <c r="BT39" s="30"/>
    </row>
    <row r="40" spans="2:99" ht="15" customHeight="1" x14ac:dyDescent="0.2">
      <c r="B40" s="5"/>
      <c r="C40" s="5"/>
      <c r="D40" s="5"/>
      <c r="E40" s="5"/>
      <c r="J40" s="5"/>
      <c r="K40" s="5"/>
      <c r="L40" s="5"/>
      <c r="M40" s="5"/>
      <c r="N40" s="5"/>
      <c r="O40" s="5"/>
      <c r="P40" s="448" t="s">
        <v>30</v>
      </c>
      <c r="Q40" s="479"/>
      <c r="R40" s="462">
        <v>0.39700000000000002</v>
      </c>
      <c r="S40" s="451"/>
      <c r="T40" s="5"/>
      <c r="U40" s="16">
        <f t="shared" si="18"/>
        <v>42</v>
      </c>
      <c r="V40" s="9">
        <v>0.71</v>
      </c>
      <c r="W40" s="10">
        <v>0.82</v>
      </c>
      <c r="X40" s="9">
        <v>0.87</v>
      </c>
      <c r="Y40" s="16">
        <f t="shared" si="16"/>
        <v>107.60000000000001</v>
      </c>
      <c r="Z40" s="5"/>
      <c r="AA40" s="16">
        <v>2500</v>
      </c>
      <c r="AB40" s="16">
        <f t="shared" si="19"/>
        <v>2000.001</v>
      </c>
      <c r="AC40" s="91">
        <f t="shared" si="20"/>
        <v>2500</v>
      </c>
      <c r="AD40" s="5"/>
      <c r="AE40" s="5"/>
      <c r="AF40" s="5"/>
      <c r="AU40" s="292"/>
      <c r="AV40" s="292"/>
      <c r="AW40" s="292"/>
      <c r="AX40" s="292"/>
      <c r="AY40" s="292"/>
      <c r="AZ40" s="292"/>
      <c r="BA40" s="292"/>
      <c r="BB40" s="292"/>
      <c r="BC40" s="292"/>
      <c r="BD40" s="292"/>
      <c r="BK40" s="243"/>
      <c r="BL40" s="30"/>
      <c r="BM40" s="30"/>
      <c r="BN40" s="30"/>
      <c r="BO40" s="30"/>
      <c r="BP40" s="30"/>
      <c r="BQ40" s="30"/>
      <c r="BR40" s="30"/>
      <c r="BS40" s="30"/>
      <c r="BT40" s="30"/>
    </row>
    <row r="41" spans="2:99" ht="15" customHeight="1" x14ac:dyDescent="0.2">
      <c r="B41" s="5"/>
      <c r="C41" s="5"/>
      <c r="D41" s="5"/>
      <c r="E41" s="5"/>
      <c r="J41" s="5"/>
      <c r="K41" s="5"/>
      <c r="L41" s="5"/>
      <c r="M41" s="5"/>
      <c r="N41" s="5"/>
      <c r="O41" s="5"/>
      <c r="P41" s="448" t="s">
        <v>31</v>
      </c>
      <c r="Q41" s="479"/>
      <c r="R41" s="462">
        <v>0.46079999999999999</v>
      </c>
      <c r="S41" s="451"/>
      <c r="T41" s="5"/>
      <c r="U41" s="16">
        <f t="shared" si="18"/>
        <v>43</v>
      </c>
      <c r="V41" s="9">
        <v>0.71</v>
      </c>
      <c r="W41" s="10">
        <v>0.82</v>
      </c>
      <c r="X41" s="9">
        <v>0.87</v>
      </c>
      <c r="Y41" s="16">
        <f t="shared" si="16"/>
        <v>109.4</v>
      </c>
      <c r="Z41" s="5"/>
      <c r="AA41" s="16">
        <v>3000</v>
      </c>
      <c r="AB41" s="16">
        <f t="shared" si="19"/>
        <v>2500.0010000000002</v>
      </c>
      <c r="AC41" s="91">
        <f t="shared" si="20"/>
        <v>3000</v>
      </c>
      <c r="AD41" s="5"/>
      <c r="AE41" s="5"/>
      <c r="AF41" s="5"/>
      <c r="AU41" s="292"/>
      <c r="AV41" s="292"/>
      <c r="AW41" s="292"/>
      <c r="AX41" s="292"/>
      <c r="AY41" s="292"/>
      <c r="AZ41" s="292"/>
      <c r="BA41" s="292"/>
      <c r="BB41" s="292"/>
      <c r="BC41" s="292"/>
      <c r="BD41" s="292"/>
      <c r="BK41" s="243"/>
      <c r="BL41" s="30"/>
      <c r="BM41" s="30"/>
      <c r="BN41" s="30"/>
      <c r="BO41" s="30"/>
      <c r="BP41" s="30"/>
      <c r="BQ41" s="30"/>
      <c r="BR41" s="30"/>
      <c r="BS41" s="30"/>
      <c r="BT41" s="30"/>
    </row>
    <row r="42" spans="2:99" ht="15" customHeight="1" x14ac:dyDescent="0.2">
      <c r="B42" s="5"/>
      <c r="C42" s="5"/>
      <c r="D42" s="5"/>
      <c r="E42" s="5"/>
      <c r="J42" s="5"/>
      <c r="K42" s="5"/>
      <c r="L42" s="5"/>
      <c r="M42" s="5"/>
      <c r="N42" s="5"/>
      <c r="O42" s="5"/>
      <c r="P42" s="448" t="s">
        <v>32</v>
      </c>
      <c r="Q42" s="479"/>
      <c r="R42" s="462">
        <v>0.5242</v>
      </c>
      <c r="S42" s="451"/>
      <c r="T42" s="5"/>
      <c r="U42" s="16">
        <f t="shared" si="18"/>
        <v>44</v>
      </c>
      <c r="V42" s="9">
        <v>0.71</v>
      </c>
      <c r="W42" s="10">
        <v>0.82</v>
      </c>
      <c r="X42" s="9">
        <v>0.87</v>
      </c>
      <c r="Y42" s="16">
        <f t="shared" si="16"/>
        <v>111.2</v>
      </c>
      <c r="Z42" s="5"/>
      <c r="AA42" s="16">
        <v>4000</v>
      </c>
      <c r="AB42" s="16">
        <f t="shared" si="19"/>
        <v>3000.0010000000002</v>
      </c>
      <c r="AC42" s="91">
        <f t="shared" si="20"/>
        <v>4000</v>
      </c>
      <c r="AD42" s="5"/>
      <c r="AE42" s="5"/>
      <c r="AF42" s="5"/>
      <c r="AU42" s="292"/>
      <c r="AV42" s="292"/>
      <c r="AW42" s="292"/>
      <c r="AX42" s="292"/>
      <c r="AY42" s="292"/>
      <c r="AZ42" s="292"/>
      <c r="BA42" s="292"/>
      <c r="BB42" s="292"/>
      <c r="BC42" s="292"/>
      <c r="BD42" s="292"/>
      <c r="BK42" s="243"/>
      <c r="BL42" s="30"/>
      <c r="BM42" s="30"/>
      <c r="BN42" s="30"/>
      <c r="BO42" s="30"/>
      <c r="BP42" s="30"/>
      <c r="BQ42" s="30"/>
      <c r="BR42" s="30"/>
      <c r="BS42" s="30"/>
      <c r="BT42" s="30"/>
    </row>
    <row r="43" spans="2:99" ht="15" customHeight="1" x14ac:dyDescent="0.2">
      <c r="B43" s="5"/>
      <c r="C43" s="5"/>
      <c r="D43" s="5"/>
      <c r="E43" s="5"/>
      <c r="J43" s="5"/>
      <c r="K43" s="5"/>
      <c r="L43" s="5"/>
      <c r="M43" s="5"/>
      <c r="N43" s="5"/>
      <c r="O43" s="5"/>
      <c r="P43" s="448" t="s">
        <v>33</v>
      </c>
      <c r="Q43" s="479"/>
      <c r="R43" s="462">
        <v>0.58630000000000004</v>
      </c>
      <c r="S43" s="451"/>
      <c r="T43" s="5"/>
      <c r="U43" s="16">
        <f t="shared" si="18"/>
        <v>45</v>
      </c>
      <c r="V43" s="9">
        <v>0.71</v>
      </c>
      <c r="W43" s="10">
        <v>0.82</v>
      </c>
      <c r="X43" s="9">
        <v>0.87</v>
      </c>
      <c r="Y43" s="16">
        <f t="shared" si="16"/>
        <v>113</v>
      </c>
      <c r="Z43" s="5"/>
      <c r="AA43" s="16">
        <v>5000</v>
      </c>
      <c r="AB43" s="16">
        <f t="shared" si="19"/>
        <v>4000.0010000000002</v>
      </c>
      <c r="AC43" s="91">
        <f t="shared" si="20"/>
        <v>5000</v>
      </c>
      <c r="AD43" s="5"/>
      <c r="AE43" s="5"/>
      <c r="AF43" s="5"/>
      <c r="AU43" s="292"/>
      <c r="AV43" s="292"/>
      <c r="AW43" s="292"/>
      <c r="AX43" s="292"/>
      <c r="AY43" s="292"/>
      <c r="AZ43" s="292"/>
      <c r="BA43" s="292"/>
      <c r="BB43" s="292"/>
      <c r="BC43" s="292"/>
      <c r="BD43" s="292"/>
      <c r="BK43" s="243"/>
      <c r="BL43" s="30"/>
      <c r="BM43" s="30"/>
      <c r="BN43" s="30"/>
      <c r="BO43" s="30"/>
      <c r="BP43" s="30"/>
      <c r="BQ43" s="30"/>
      <c r="BR43" s="30"/>
      <c r="BS43" s="30"/>
      <c r="BT43" s="30"/>
    </row>
    <row r="44" spans="2:99" ht="15" customHeight="1" x14ac:dyDescent="0.2">
      <c r="B44" s="5"/>
      <c r="C44" s="5"/>
      <c r="D44" s="5"/>
      <c r="E44" s="5"/>
      <c r="J44" s="5"/>
      <c r="K44" s="5"/>
      <c r="L44" s="5"/>
      <c r="M44" s="5"/>
      <c r="N44" s="5"/>
      <c r="O44" s="5"/>
      <c r="P44" s="448" t="s">
        <v>34</v>
      </c>
      <c r="Q44" s="479"/>
      <c r="R44" s="462">
        <v>0.70730000000000004</v>
      </c>
      <c r="S44" s="451"/>
      <c r="T44" s="5"/>
      <c r="U44" s="16">
        <f t="shared" si="18"/>
        <v>46</v>
      </c>
      <c r="V44" s="9">
        <v>0.57999999999999996</v>
      </c>
      <c r="W44" s="10">
        <v>0.75</v>
      </c>
      <c r="X44" s="9">
        <v>0.82</v>
      </c>
      <c r="Y44" s="16">
        <f t="shared" si="16"/>
        <v>114.8</v>
      </c>
      <c r="Z44" s="5"/>
      <c r="AA44" s="92">
        <v>6000</v>
      </c>
      <c r="AB44" s="92">
        <f t="shared" si="19"/>
        <v>5000.0010000000002</v>
      </c>
      <c r="AC44" s="98">
        <f t="shared" si="20"/>
        <v>6000</v>
      </c>
      <c r="AD44" s="5"/>
      <c r="AE44" s="5"/>
      <c r="AF44" s="5"/>
      <c r="AU44" s="292"/>
      <c r="AV44" s="292"/>
      <c r="AW44" s="292"/>
      <c r="AX44" s="292"/>
      <c r="AY44" s="292"/>
      <c r="AZ44" s="292"/>
      <c r="BA44" s="292"/>
      <c r="BB44" s="292"/>
      <c r="BC44" s="292"/>
      <c r="BD44" s="292"/>
      <c r="BK44" s="243"/>
      <c r="BL44" s="30"/>
      <c r="BM44" s="30"/>
      <c r="BN44" s="30"/>
      <c r="BO44" s="30"/>
      <c r="BP44" s="30"/>
      <c r="BQ44" s="30"/>
      <c r="BR44" s="30"/>
      <c r="BS44" s="30"/>
      <c r="BT44" s="30"/>
      <c r="CU44" s="5"/>
    </row>
    <row r="45" spans="2:99" ht="15" customHeight="1" x14ac:dyDescent="0.2">
      <c r="B45" s="5"/>
      <c r="C45" s="5"/>
      <c r="D45" s="5"/>
      <c r="E45" s="5"/>
      <c r="J45" s="5"/>
      <c r="K45" s="5"/>
      <c r="L45" s="5"/>
      <c r="M45" s="5"/>
      <c r="N45" s="5"/>
      <c r="O45" s="5"/>
      <c r="P45" s="448" t="s">
        <v>35</v>
      </c>
      <c r="Q45" s="479"/>
      <c r="R45" s="462">
        <v>0.86760000000000004</v>
      </c>
      <c r="S45" s="451"/>
      <c r="T45" s="5"/>
      <c r="U45" s="16">
        <f t="shared" si="18"/>
        <v>47</v>
      </c>
      <c r="V45" s="9">
        <v>0.57999999999999996</v>
      </c>
      <c r="W45" s="10">
        <v>0.75</v>
      </c>
      <c r="X45" s="9">
        <v>0.82</v>
      </c>
      <c r="Y45" s="16">
        <f t="shared" si="16"/>
        <v>116.60000000000001</v>
      </c>
      <c r="Z45" s="5"/>
      <c r="AA45" s="5"/>
      <c r="AB45" s="5"/>
      <c r="AC45" s="5"/>
      <c r="AD45" s="5"/>
      <c r="AE45" s="5"/>
      <c r="AF45" s="5"/>
      <c r="AU45" s="292"/>
      <c r="AV45" s="292"/>
      <c r="AW45" s="292"/>
      <c r="AX45" s="292"/>
      <c r="AY45" s="292"/>
      <c r="AZ45" s="292"/>
      <c r="BA45" s="292"/>
      <c r="BB45" s="292"/>
      <c r="BC45" s="292"/>
      <c r="BD45" s="292"/>
      <c r="BK45" s="243"/>
      <c r="BL45" s="30"/>
      <c r="BM45" s="30"/>
      <c r="BN45" s="30"/>
      <c r="BO45" s="30"/>
      <c r="BP45" s="30"/>
      <c r="BQ45" s="30"/>
      <c r="BR45" s="30"/>
      <c r="BS45" s="30"/>
      <c r="BT45" s="30"/>
      <c r="CU45" s="5"/>
    </row>
    <row r="46" spans="2:99" ht="15" customHeight="1" x14ac:dyDescent="0.2">
      <c r="B46" s="5"/>
      <c r="C46" s="5"/>
      <c r="D46" s="5"/>
      <c r="E46" s="5"/>
      <c r="J46" s="5"/>
      <c r="K46" s="5"/>
      <c r="L46" s="5"/>
      <c r="M46" s="5"/>
      <c r="N46" s="5"/>
      <c r="O46" s="5"/>
      <c r="P46" s="448" t="s">
        <v>36</v>
      </c>
      <c r="Q46" s="479"/>
      <c r="R46" s="462">
        <v>0.98870000000000002</v>
      </c>
      <c r="S46" s="451"/>
      <c r="T46" s="5"/>
      <c r="U46" s="16">
        <f t="shared" si="18"/>
        <v>48</v>
      </c>
      <c r="V46" s="9">
        <v>0.57999999999999996</v>
      </c>
      <c r="W46" s="10">
        <v>0.75</v>
      </c>
      <c r="X46" s="9">
        <v>0.82</v>
      </c>
      <c r="Y46" s="16">
        <f t="shared" si="16"/>
        <v>118.4</v>
      </c>
      <c r="Z46" s="5"/>
      <c r="AA46" s="5"/>
      <c r="AB46" s="5"/>
      <c r="AC46" s="5"/>
      <c r="AD46" s="5"/>
      <c r="AE46" s="5"/>
      <c r="AF46" s="5"/>
      <c r="AU46" s="292"/>
      <c r="AV46" s="292"/>
      <c r="AW46" s="292"/>
      <c r="AX46" s="292"/>
      <c r="AY46" s="292"/>
      <c r="AZ46" s="292"/>
      <c r="BA46" s="292"/>
      <c r="BB46" s="292"/>
      <c r="BC46" s="292"/>
      <c r="BD46" s="292"/>
      <c r="BK46" s="243"/>
      <c r="BL46" s="30"/>
      <c r="BM46" s="30"/>
      <c r="BN46" s="30"/>
      <c r="BO46" s="30"/>
      <c r="BP46" s="30"/>
      <c r="BQ46" s="30"/>
      <c r="BR46" s="30"/>
      <c r="BS46" s="30"/>
      <c r="BT46" s="30"/>
      <c r="CU46" s="5"/>
    </row>
    <row r="47" spans="2:99" ht="15" customHeight="1" x14ac:dyDescent="0.2">
      <c r="B47" s="5"/>
      <c r="C47" s="5"/>
      <c r="D47" s="5"/>
      <c r="E47" s="5"/>
      <c r="J47" s="5"/>
      <c r="K47" s="5"/>
      <c r="L47" s="5"/>
      <c r="M47" s="5"/>
      <c r="N47" s="5"/>
      <c r="O47" s="5"/>
      <c r="P47" s="448" t="s">
        <v>37</v>
      </c>
      <c r="Q47" s="479"/>
      <c r="R47" s="462">
        <v>1.0496000000000001</v>
      </c>
      <c r="S47" s="451"/>
      <c r="T47" s="5"/>
      <c r="U47" s="16">
        <f t="shared" si="18"/>
        <v>49</v>
      </c>
      <c r="V47" s="9">
        <v>0.57999999999999996</v>
      </c>
      <c r="W47" s="10">
        <v>0.75</v>
      </c>
      <c r="X47" s="9">
        <v>0.82</v>
      </c>
      <c r="Y47" s="16">
        <f t="shared" si="16"/>
        <v>120.2</v>
      </c>
      <c r="Z47" s="5"/>
      <c r="AA47" s="5"/>
      <c r="AB47" s="5"/>
      <c r="AC47" s="5"/>
      <c r="AD47" s="5"/>
      <c r="AE47" s="5"/>
      <c r="AF47" s="5"/>
      <c r="AU47" s="292"/>
      <c r="AV47" s="292"/>
      <c r="AW47" s="292"/>
      <c r="AX47" s="292"/>
      <c r="AY47" s="292"/>
      <c r="AZ47" s="292"/>
      <c r="BA47" s="292"/>
      <c r="BB47" s="292"/>
      <c r="BC47" s="292"/>
      <c r="BD47" s="292"/>
      <c r="BK47" s="243"/>
      <c r="BL47" s="30"/>
      <c r="BM47" s="30"/>
      <c r="BN47" s="30"/>
      <c r="BO47" s="30"/>
      <c r="BP47" s="30"/>
      <c r="BQ47" s="30"/>
      <c r="BR47" s="30"/>
      <c r="BS47" s="30"/>
      <c r="BT47" s="30"/>
      <c r="CU47" s="5"/>
    </row>
    <row r="48" spans="2:99" ht="15" customHeight="1" x14ac:dyDescent="0.2">
      <c r="B48" s="5"/>
      <c r="C48" s="5"/>
      <c r="D48" s="5"/>
      <c r="E48" s="5"/>
      <c r="J48" s="5"/>
      <c r="K48" s="5"/>
      <c r="L48" s="5"/>
      <c r="M48" s="5"/>
      <c r="N48" s="5"/>
      <c r="O48" s="5"/>
      <c r="P48" s="448" t="s">
        <v>38</v>
      </c>
      <c r="Q48" s="479"/>
      <c r="R48" s="462">
        <v>1.1085</v>
      </c>
      <c r="S48" s="451"/>
      <c r="T48" s="5"/>
      <c r="U48" s="16">
        <f t="shared" si="18"/>
        <v>50</v>
      </c>
      <c r="V48" s="9">
        <v>0.57999999999999996</v>
      </c>
      <c r="W48" s="10">
        <v>0.75</v>
      </c>
      <c r="X48" s="9">
        <v>0.82</v>
      </c>
      <c r="Y48" s="16">
        <f t="shared" si="16"/>
        <v>122</v>
      </c>
      <c r="Z48" s="5"/>
      <c r="AA48" s="5"/>
      <c r="AB48" s="5"/>
      <c r="AC48" s="5"/>
      <c r="AD48" s="5"/>
      <c r="AE48" s="5"/>
      <c r="AF48" s="5"/>
      <c r="AU48" s="292"/>
      <c r="AV48" s="292"/>
      <c r="AW48" s="292"/>
      <c r="AX48" s="292"/>
      <c r="AY48" s="292"/>
      <c r="AZ48" s="292"/>
      <c r="BA48" s="292"/>
      <c r="BB48" s="292"/>
      <c r="BC48" s="292"/>
      <c r="BD48" s="292"/>
      <c r="BK48" s="243"/>
      <c r="BL48" s="30"/>
      <c r="BM48" s="30"/>
      <c r="BN48" s="30"/>
      <c r="BO48" s="30"/>
      <c r="BP48" s="30"/>
      <c r="BQ48" s="30"/>
      <c r="BR48" s="30"/>
      <c r="BS48" s="30"/>
      <c r="BT48" s="30"/>
      <c r="CU48" s="5"/>
    </row>
    <row r="49" spans="2:100" ht="15" customHeight="1" x14ac:dyDescent="0.2">
      <c r="B49" s="5"/>
      <c r="C49" s="5"/>
      <c r="D49" s="5"/>
      <c r="E49" s="5"/>
      <c r="J49" s="5"/>
      <c r="K49" s="5"/>
      <c r="L49" s="5"/>
      <c r="M49" s="5"/>
      <c r="N49" s="5"/>
      <c r="O49" s="5"/>
      <c r="P49" s="448" t="s">
        <v>39</v>
      </c>
      <c r="Q49" s="479"/>
      <c r="R49" s="462">
        <v>1.2311000000000001</v>
      </c>
      <c r="S49" s="451"/>
      <c r="T49" s="5"/>
      <c r="U49" s="16">
        <f t="shared" si="18"/>
        <v>51</v>
      </c>
      <c r="V49" s="9">
        <v>0.41</v>
      </c>
      <c r="W49" s="10">
        <v>0.67</v>
      </c>
      <c r="X49" s="9">
        <v>0.76</v>
      </c>
      <c r="Y49" s="16">
        <f t="shared" si="16"/>
        <v>123.8</v>
      </c>
      <c r="Z49" s="5"/>
      <c r="AA49" s="585" t="s">
        <v>277</v>
      </c>
      <c r="AB49" s="585"/>
      <c r="AC49" s="585"/>
      <c r="AD49" s="5"/>
      <c r="AE49" s="5"/>
      <c r="AF49" s="5"/>
      <c r="AU49" s="292"/>
      <c r="AV49" s="292"/>
      <c r="AW49" s="292"/>
      <c r="AX49" s="292"/>
      <c r="AY49" s="292"/>
      <c r="AZ49" s="292"/>
      <c r="BA49" s="292"/>
      <c r="BB49" s="292"/>
      <c r="BC49" s="292"/>
      <c r="BD49" s="292"/>
      <c r="BK49" s="243"/>
      <c r="BL49" s="30"/>
      <c r="BM49" s="30"/>
      <c r="BN49" s="30"/>
      <c r="BO49" s="30"/>
      <c r="BP49" s="30"/>
      <c r="BQ49" s="30"/>
      <c r="BR49" s="30"/>
      <c r="BS49" s="30"/>
      <c r="BT49" s="30"/>
    </row>
    <row r="50" spans="2:100" ht="15" customHeight="1" x14ac:dyDescent="0.2">
      <c r="B50" s="5"/>
      <c r="C50" s="5"/>
      <c r="D50" s="5"/>
      <c r="E50" s="5"/>
      <c r="J50" s="5"/>
      <c r="K50" s="5"/>
      <c r="L50" s="5"/>
      <c r="M50" s="5"/>
      <c r="N50" s="5"/>
      <c r="O50" s="5"/>
      <c r="P50" s="484" t="s">
        <v>40</v>
      </c>
      <c r="Q50" s="485"/>
      <c r="R50" s="480">
        <v>1.3478000000000001</v>
      </c>
      <c r="S50" s="481"/>
      <c r="T50" s="5"/>
      <c r="U50" s="16">
        <f t="shared" si="18"/>
        <v>52</v>
      </c>
      <c r="V50" s="9">
        <v>0.41</v>
      </c>
      <c r="W50" s="10">
        <v>0.67</v>
      </c>
      <c r="X50" s="9">
        <v>0.76</v>
      </c>
      <c r="Y50" s="16">
        <f t="shared" si="16"/>
        <v>125.60000000000001</v>
      </c>
      <c r="Z50" s="5"/>
      <c r="AA50" s="585"/>
      <c r="AB50" s="585"/>
      <c r="AC50" s="585"/>
      <c r="AD50" s="5"/>
      <c r="AE50" s="5"/>
      <c r="AF50" s="5"/>
      <c r="AU50" s="292"/>
      <c r="AV50" s="292"/>
      <c r="AW50" s="292"/>
      <c r="AX50" s="292"/>
      <c r="AY50" s="292"/>
      <c r="AZ50" s="292"/>
      <c r="BA50" s="292"/>
      <c r="BB50" s="292"/>
      <c r="BC50" s="292"/>
      <c r="BD50" s="292"/>
      <c r="BK50" s="243"/>
      <c r="BL50" s="30"/>
      <c r="BM50" s="30"/>
      <c r="BN50" s="30"/>
      <c r="BO50" s="30"/>
      <c r="BP50" s="30"/>
      <c r="BQ50" s="30"/>
      <c r="BR50" s="30"/>
      <c r="BS50" s="30"/>
      <c r="BT50" s="30"/>
    </row>
    <row r="51" spans="2:100" ht="15" customHeight="1" x14ac:dyDescent="0.2">
      <c r="B51" s="5"/>
      <c r="C51" s="5"/>
      <c r="D51" s="5"/>
      <c r="E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16">
        <f t="shared" si="18"/>
        <v>53</v>
      </c>
      <c r="V51" s="9">
        <v>0.41</v>
      </c>
      <c r="W51" s="10">
        <v>0.67</v>
      </c>
      <c r="X51" s="9">
        <v>0.76</v>
      </c>
      <c r="Y51" s="16">
        <f t="shared" si="16"/>
        <v>127.4</v>
      </c>
      <c r="Z51" s="5"/>
      <c r="AA51" s="13" t="s">
        <v>67</v>
      </c>
      <c r="AB51" s="13" t="s">
        <v>54</v>
      </c>
      <c r="AC51" s="57" t="s">
        <v>90</v>
      </c>
      <c r="AD51" s="5"/>
      <c r="AE51" s="5"/>
      <c r="AF51" s="5"/>
      <c r="AU51" s="292"/>
      <c r="AV51" s="292"/>
      <c r="AW51" s="292"/>
      <c r="AX51" s="292"/>
      <c r="AY51" s="292"/>
      <c r="AZ51" s="292"/>
      <c r="BA51" s="292"/>
      <c r="BB51" s="292"/>
      <c r="BC51" s="292"/>
      <c r="BD51" s="292"/>
      <c r="BK51" s="243"/>
      <c r="BL51" s="30"/>
      <c r="BM51" s="30"/>
      <c r="BN51" s="30"/>
      <c r="BO51" s="30"/>
      <c r="BP51" s="30"/>
      <c r="BQ51" s="30"/>
      <c r="BR51" s="30"/>
      <c r="BS51" s="30"/>
      <c r="BT51" s="30"/>
    </row>
    <row r="52" spans="2:100" ht="15" customHeight="1" x14ac:dyDescent="0.2">
      <c r="B52" s="5"/>
      <c r="C52" s="5"/>
      <c r="D52" s="5"/>
      <c r="E52" s="5"/>
      <c r="J52" s="5"/>
      <c r="K52" s="5"/>
      <c r="L52" s="5"/>
      <c r="M52" s="5"/>
      <c r="N52" s="5"/>
      <c r="O52" s="5"/>
      <c r="P52" s="478" t="s">
        <v>41</v>
      </c>
      <c r="Q52" s="478"/>
      <c r="R52" s="478"/>
      <c r="S52" s="478"/>
      <c r="T52" s="5"/>
      <c r="U52" s="16">
        <f t="shared" si="18"/>
        <v>54</v>
      </c>
      <c r="V52" s="9">
        <v>0.41</v>
      </c>
      <c r="W52" s="10">
        <v>0.67</v>
      </c>
      <c r="X52" s="9">
        <v>0.76</v>
      </c>
      <c r="Y52" s="16">
        <f t="shared" si="16"/>
        <v>129.19999999999999</v>
      </c>
      <c r="Z52" s="5"/>
      <c r="AA52" s="15">
        <v>30</v>
      </c>
      <c r="AB52" s="15">
        <v>1</v>
      </c>
      <c r="AC52" s="99">
        <v>29.998999999999999</v>
      </c>
      <c r="AD52" s="5"/>
      <c r="AE52" s="5"/>
      <c r="AF52" s="5"/>
      <c r="AU52" s="292"/>
      <c r="AV52" s="292"/>
      <c r="AW52" s="292"/>
      <c r="AX52" s="292"/>
      <c r="AY52" s="292"/>
      <c r="AZ52" s="292"/>
      <c r="BA52" s="292"/>
      <c r="BB52" s="292"/>
      <c r="BC52" s="292"/>
      <c r="BD52" s="292"/>
      <c r="BK52" s="243"/>
      <c r="BL52" s="30"/>
      <c r="BM52" s="30"/>
      <c r="BN52" s="30"/>
      <c r="BO52" s="30"/>
      <c r="BP52" s="30"/>
      <c r="BQ52" s="30"/>
      <c r="BR52" s="30"/>
      <c r="BS52" s="30"/>
      <c r="BT52" s="30"/>
    </row>
    <row r="53" spans="2:100" ht="15" customHeight="1" x14ac:dyDescent="0.2">
      <c r="B53" s="5"/>
      <c r="C53" s="5"/>
      <c r="D53" s="5"/>
      <c r="E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16">
        <f t="shared" si="18"/>
        <v>55</v>
      </c>
      <c r="V53" s="9">
        <v>0.41</v>
      </c>
      <c r="W53" s="10">
        <v>0.67</v>
      </c>
      <c r="X53" s="9">
        <v>0.76</v>
      </c>
      <c r="Y53" s="16">
        <f t="shared" si="16"/>
        <v>131</v>
      </c>
      <c r="Z53" s="5"/>
      <c r="AA53" s="16">
        <v>60</v>
      </c>
      <c r="AB53" s="16">
        <f>AC52+0.001</f>
        <v>30</v>
      </c>
      <c r="AC53" s="91">
        <v>59.999000000000002</v>
      </c>
      <c r="AD53" s="5"/>
      <c r="AE53" s="5"/>
      <c r="AF53" s="5"/>
      <c r="BK53" s="243"/>
      <c r="BL53" s="30"/>
      <c r="BM53" s="30"/>
      <c r="BN53" s="30"/>
      <c r="BO53" s="30"/>
      <c r="BP53" s="30"/>
      <c r="BQ53" s="30"/>
      <c r="BR53" s="30"/>
      <c r="BS53" s="30"/>
      <c r="BT53" s="30"/>
      <c r="CV53" s="5"/>
    </row>
    <row r="54" spans="2:100" ht="15" customHeight="1" x14ac:dyDescent="0.2">
      <c r="B54" s="5"/>
      <c r="C54" s="5"/>
      <c r="D54" s="5"/>
      <c r="E54" s="5"/>
      <c r="J54" s="5"/>
      <c r="K54" s="5"/>
      <c r="L54" s="5"/>
      <c r="M54" s="5"/>
      <c r="N54" s="5"/>
      <c r="O54" s="5"/>
      <c r="P54" s="472" t="s">
        <v>42</v>
      </c>
      <c r="Q54" s="473"/>
      <c r="R54" s="473"/>
      <c r="S54" s="474"/>
      <c r="T54" s="5"/>
      <c r="U54" s="16">
        <f t="shared" si="18"/>
        <v>56</v>
      </c>
      <c r="V54" s="9" t="s">
        <v>51</v>
      </c>
      <c r="W54" s="10">
        <v>0.57999999999999996</v>
      </c>
      <c r="X54" s="9">
        <v>0.71</v>
      </c>
      <c r="Y54" s="16">
        <f t="shared" si="16"/>
        <v>132.80000000000001</v>
      </c>
      <c r="Z54" s="5"/>
      <c r="AA54" s="16">
        <v>100</v>
      </c>
      <c r="AB54" s="16">
        <f t="shared" ref="AB54:AB58" si="28">AC53+0.001</f>
        <v>60</v>
      </c>
      <c r="AC54" s="91">
        <v>99.998999999999995</v>
      </c>
      <c r="AD54" s="5"/>
      <c r="AE54" s="5"/>
      <c r="AF54" s="5"/>
      <c r="BK54" s="243"/>
      <c r="BL54" s="30"/>
      <c r="BM54" s="30"/>
      <c r="BN54" s="30"/>
      <c r="BO54" s="30"/>
      <c r="BP54" s="30"/>
      <c r="BQ54" s="30"/>
      <c r="BR54" s="30"/>
      <c r="BS54" s="30"/>
      <c r="BT54" s="30"/>
      <c r="CV54" s="5"/>
    </row>
    <row r="55" spans="2:100" ht="15" customHeight="1" x14ac:dyDescent="0.2">
      <c r="B55" s="5"/>
      <c r="C55" s="5"/>
      <c r="D55" s="5"/>
      <c r="E55" s="5"/>
      <c r="J55" s="5"/>
      <c r="K55" s="5"/>
      <c r="L55" s="5"/>
      <c r="M55" s="5"/>
      <c r="N55" s="5"/>
      <c r="O55" s="5"/>
      <c r="P55" s="475"/>
      <c r="Q55" s="476"/>
      <c r="R55" s="476"/>
      <c r="S55" s="477"/>
      <c r="T55" s="5"/>
      <c r="U55" s="16">
        <f t="shared" si="18"/>
        <v>57</v>
      </c>
      <c r="V55" s="9" t="s">
        <v>51</v>
      </c>
      <c r="W55" s="10">
        <v>0.57999999999999996</v>
      </c>
      <c r="X55" s="9">
        <v>0.71</v>
      </c>
      <c r="Y55" s="16">
        <f t="shared" si="16"/>
        <v>134.60000000000002</v>
      </c>
      <c r="Z55" s="5"/>
      <c r="AA55" s="16">
        <v>200</v>
      </c>
      <c r="AB55" s="16">
        <f t="shared" si="28"/>
        <v>100</v>
      </c>
      <c r="AC55" s="91">
        <v>199.999</v>
      </c>
      <c r="AD55" s="5"/>
      <c r="AE55" s="5"/>
      <c r="AF55" s="5"/>
      <c r="BK55" s="243"/>
      <c r="BL55" s="30"/>
      <c r="BM55" s="30"/>
      <c r="BN55" s="30"/>
      <c r="BO55" s="30"/>
      <c r="BP55" s="30"/>
      <c r="BQ55" s="30"/>
      <c r="BR55" s="30"/>
      <c r="BS55" s="30"/>
      <c r="BT55" s="30"/>
      <c r="CV55" s="5"/>
    </row>
    <row r="56" spans="2:100" ht="15" customHeight="1" x14ac:dyDescent="0.2">
      <c r="B56" s="5"/>
      <c r="C56" s="5"/>
      <c r="D56" s="5"/>
      <c r="E56" s="5"/>
      <c r="J56" s="5"/>
      <c r="K56" s="5"/>
      <c r="L56" s="5"/>
      <c r="M56" s="5"/>
      <c r="N56" s="5"/>
      <c r="O56" s="5"/>
      <c r="P56" s="471" t="s">
        <v>43</v>
      </c>
      <c r="Q56" s="471"/>
      <c r="R56" s="57" t="s">
        <v>25</v>
      </c>
      <c r="S56" s="6">
        <v>0.4</v>
      </c>
      <c r="T56" s="5"/>
      <c r="U56" s="16">
        <f t="shared" si="18"/>
        <v>58</v>
      </c>
      <c r="V56" s="9" t="s">
        <v>51</v>
      </c>
      <c r="W56" s="10">
        <v>0.57999999999999996</v>
      </c>
      <c r="X56" s="9">
        <v>0.71</v>
      </c>
      <c r="Y56" s="16">
        <f t="shared" si="16"/>
        <v>136.4</v>
      </c>
      <c r="Z56" s="5"/>
      <c r="AA56" s="16">
        <v>400</v>
      </c>
      <c r="AB56" s="16">
        <f t="shared" si="28"/>
        <v>200</v>
      </c>
      <c r="AC56" s="91">
        <v>399.99900000000002</v>
      </c>
      <c r="AD56" s="5"/>
      <c r="AE56" s="5"/>
      <c r="AF56" s="5"/>
      <c r="BK56" s="243"/>
      <c r="BL56" s="30"/>
      <c r="BM56" s="30"/>
      <c r="BN56" s="30"/>
      <c r="BO56" s="30"/>
      <c r="BP56" s="30"/>
      <c r="BQ56" s="30"/>
      <c r="BR56" s="30"/>
      <c r="BS56" s="30"/>
      <c r="BT56" s="30"/>
      <c r="CV56" s="5"/>
    </row>
    <row r="57" spans="2:100" ht="15" customHeight="1" x14ac:dyDescent="0.2">
      <c r="B57" s="5"/>
      <c r="C57" s="5"/>
      <c r="D57" s="5"/>
      <c r="E57" s="5"/>
      <c r="J57" s="5"/>
      <c r="K57" s="5"/>
      <c r="L57" s="5"/>
      <c r="M57" s="5"/>
      <c r="N57" s="5"/>
      <c r="O57" s="5"/>
      <c r="P57" s="510">
        <v>0.75</v>
      </c>
      <c r="Q57" s="511"/>
      <c r="R57" s="15">
        <v>0.30399999999999999</v>
      </c>
      <c r="S57" s="99">
        <v>0.122</v>
      </c>
      <c r="T57" s="5"/>
      <c r="U57" s="16">
        <f t="shared" si="18"/>
        <v>59</v>
      </c>
      <c r="V57" s="9" t="s">
        <v>51</v>
      </c>
      <c r="W57" s="10">
        <v>0.57999999999999996</v>
      </c>
      <c r="X57" s="9">
        <v>0.71</v>
      </c>
      <c r="Y57" s="16">
        <f t="shared" si="16"/>
        <v>138.19999999999999</v>
      </c>
      <c r="Z57" s="5"/>
      <c r="AA57" s="16">
        <v>600</v>
      </c>
      <c r="AB57" s="16">
        <f t="shared" si="28"/>
        <v>400</v>
      </c>
      <c r="AC57" s="91">
        <v>599.99900000000002</v>
      </c>
      <c r="AD57" s="5"/>
      <c r="AE57" s="5"/>
      <c r="AF57" s="5"/>
      <c r="BK57" s="243"/>
      <c r="BL57" s="30"/>
      <c r="BM57" s="30"/>
      <c r="BN57" s="30"/>
      <c r="BO57" s="30"/>
      <c r="BP57" s="30"/>
      <c r="BQ57" s="30"/>
      <c r="BR57" s="30"/>
      <c r="BS57" s="30"/>
      <c r="BT57" s="30"/>
      <c r="CU57" s="5"/>
    </row>
    <row r="58" spans="2:100" ht="15" customHeight="1" x14ac:dyDescent="0.2">
      <c r="B58" s="5"/>
      <c r="C58" s="5"/>
      <c r="D58" s="5"/>
      <c r="E58" s="5"/>
      <c r="J58" s="5"/>
      <c r="K58" s="5"/>
      <c r="L58" s="5"/>
      <c r="M58" s="5"/>
      <c r="N58" s="5"/>
      <c r="O58" s="5"/>
      <c r="P58" s="462">
        <v>0.75</v>
      </c>
      <c r="Q58" s="451"/>
      <c r="R58" s="16">
        <v>0.53300000000000003</v>
      </c>
      <c r="S58" s="91">
        <v>0.21299999999999999</v>
      </c>
      <c r="T58" s="5"/>
      <c r="U58" s="16">
        <f t="shared" si="18"/>
        <v>60</v>
      </c>
      <c r="V58" s="9" t="s">
        <v>51</v>
      </c>
      <c r="W58" s="10">
        <v>0.57999999999999996</v>
      </c>
      <c r="X58" s="9">
        <v>0.71</v>
      </c>
      <c r="Y58" s="16">
        <f t="shared" si="16"/>
        <v>140</v>
      </c>
      <c r="Z58" s="5"/>
      <c r="AA58" s="92">
        <v>800</v>
      </c>
      <c r="AB58" s="92">
        <f t="shared" si="28"/>
        <v>600</v>
      </c>
      <c r="AC58" s="98">
        <v>799.99900000000002</v>
      </c>
      <c r="AD58" s="5"/>
      <c r="AE58" s="5"/>
      <c r="AF58" s="5"/>
      <c r="BK58" s="243"/>
      <c r="BL58" s="30"/>
      <c r="BM58" s="30"/>
      <c r="BN58" s="30"/>
      <c r="BO58" s="30"/>
      <c r="BP58" s="30"/>
      <c r="BQ58" s="30"/>
      <c r="BR58" s="30"/>
      <c r="BS58" s="30"/>
      <c r="BT58" s="30"/>
      <c r="CU58" s="5"/>
    </row>
    <row r="59" spans="2:100" ht="15" customHeight="1" x14ac:dyDescent="0.2">
      <c r="B59" s="5"/>
      <c r="C59" s="5"/>
      <c r="D59" s="5"/>
      <c r="E59" s="5"/>
      <c r="J59" s="5"/>
      <c r="K59" s="5"/>
      <c r="L59" s="5"/>
      <c r="M59" s="5"/>
      <c r="N59" s="5"/>
      <c r="O59" s="5"/>
      <c r="P59" s="462">
        <v>1</v>
      </c>
      <c r="Q59" s="451"/>
      <c r="R59" s="16">
        <v>0.86399999999999999</v>
      </c>
      <c r="S59" s="91">
        <v>0.34599999999999997</v>
      </c>
      <c r="T59" s="5"/>
      <c r="U59" s="16">
        <f t="shared" si="18"/>
        <v>61</v>
      </c>
      <c r="V59" s="9" t="s">
        <v>51</v>
      </c>
      <c r="W59" s="10">
        <v>0.47</v>
      </c>
      <c r="X59" s="9">
        <v>0.65</v>
      </c>
      <c r="Y59" s="16">
        <f t="shared" si="16"/>
        <v>141.80000000000001</v>
      </c>
      <c r="Z59" s="5"/>
      <c r="AA59" s="5"/>
      <c r="AB59" s="5"/>
      <c r="AC59" s="5"/>
      <c r="AD59" s="5"/>
      <c r="AE59" s="5"/>
      <c r="AF59" s="5"/>
      <c r="BK59" s="243"/>
      <c r="BL59" s="30"/>
      <c r="BM59" s="30"/>
      <c r="BN59" s="30"/>
      <c r="BO59" s="30"/>
      <c r="BP59" s="30"/>
      <c r="BQ59" s="30"/>
      <c r="BR59" s="30"/>
      <c r="BS59" s="30"/>
      <c r="BT59" s="30"/>
      <c r="CU59" s="5"/>
    </row>
    <row r="60" spans="2:100" ht="15" customHeight="1" x14ac:dyDescent="0.2">
      <c r="B60" s="5"/>
      <c r="C60" s="5"/>
      <c r="D60" s="5"/>
      <c r="E60" s="5"/>
      <c r="J60" s="5"/>
      <c r="K60" s="5"/>
      <c r="L60" s="5"/>
      <c r="M60" s="5"/>
      <c r="N60" s="5"/>
      <c r="O60" s="5"/>
      <c r="P60" s="462">
        <v>1.25</v>
      </c>
      <c r="Q60" s="451"/>
      <c r="R60" s="16">
        <v>1.496</v>
      </c>
      <c r="S60" s="91">
        <v>0.59799999999999998</v>
      </c>
      <c r="T60" s="5"/>
      <c r="U60" s="16">
        <f t="shared" si="18"/>
        <v>62</v>
      </c>
      <c r="V60" s="9" t="s">
        <v>51</v>
      </c>
      <c r="W60" s="10">
        <v>0.47</v>
      </c>
      <c r="X60" s="9">
        <v>0.65</v>
      </c>
      <c r="Y60" s="16">
        <f t="shared" si="16"/>
        <v>143.60000000000002</v>
      </c>
      <c r="Z60" s="5"/>
      <c r="AA60" s="5"/>
      <c r="AB60" s="5"/>
      <c r="AC60" s="5"/>
      <c r="AD60" s="5"/>
      <c r="AE60" s="5"/>
      <c r="AF60" s="5"/>
      <c r="BK60" s="243"/>
      <c r="BL60" s="30"/>
      <c r="BM60" s="30"/>
      <c r="BN60" s="30"/>
      <c r="BO60" s="30"/>
      <c r="BP60" s="30"/>
      <c r="BQ60" s="30"/>
      <c r="BR60" s="30"/>
      <c r="BS60" s="30"/>
      <c r="BT60" s="30"/>
      <c r="CU60" s="5"/>
    </row>
    <row r="61" spans="2:100" ht="15" customHeight="1" x14ac:dyDescent="0.2">
      <c r="B61" s="5"/>
      <c r="C61" s="5"/>
      <c r="D61" s="5"/>
      <c r="E61" s="5"/>
      <c r="J61" s="5"/>
      <c r="K61" s="5"/>
      <c r="L61" s="5"/>
      <c r="M61" s="5"/>
      <c r="N61" s="5"/>
      <c r="O61" s="5"/>
      <c r="P61" s="462">
        <v>1.5</v>
      </c>
      <c r="Q61" s="451"/>
      <c r="R61" s="16">
        <v>2.036</v>
      </c>
      <c r="S61" s="91">
        <v>0.81399999999999995</v>
      </c>
      <c r="T61" s="5"/>
      <c r="U61" s="16">
        <f t="shared" si="18"/>
        <v>63</v>
      </c>
      <c r="V61" s="9" t="s">
        <v>51</v>
      </c>
      <c r="W61" s="10">
        <v>0.47</v>
      </c>
      <c r="X61" s="9">
        <v>0.65</v>
      </c>
      <c r="Y61" s="16">
        <f t="shared" si="16"/>
        <v>145.4</v>
      </c>
      <c r="Z61" s="5"/>
      <c r="AA61" s="5"/>
      <c r="AB61" s="5"/>
      <c r="AC61" s="5"/>
      <c r="AD61" s="5"/>
      <c r="AE61" s="5"/>
      <c r="AF61" s="5"/>
      <c r="BK61" s="243"/>
      <c r="BL61" s="30"/>
      <c r="BM61" s="30"/>
      <c r="BN61" s="30"/>
      <c r="BO61" s="30"/>
      <c r="BP61" s="30"/>
      <c r="BQ61" s="30"/>
      <c r="BR61" s="30"/>
      <c r="BS61" s="30"/>
      <c r="BT61" s="30"/>
      <c r="CU61" s="5"/>
    </row>
    <row r="62" spans="2:100" ht="15" customHeight="1" x14ac:dyDescent="0.2">
      <c r="B62" s="5"/>
      <c r="C62" s="5"/>
      <c r="D62" s="5"/>
      <c r="E62" s="5"/>
      <c r="J62" s="5"/>
      <c r="K62" s="5"/>
      <c r="L62" s="5"/>
      <c r="M62" s="5"/>
      <c r="N62" s="5"/>
      <c r="O62" s="5"/>
      <c r="P62" s="462">
        <v>2</v>
      </c>
      <c r="Q62" s="451"/>
      <c r="R62" s="16">
        <v>3.3559999999999999</v>
      </c>
      <c r="S62" s="91">
        <v>1.3420000000000001</v>
      </c>
      <c r="T62" s="5"/>
      <c r="U62" s="16">
        <f t="shared" si="18"/>
        <v>64</v>
      </c>
      <c r="V62" s="9" t="s">
        <v>51</v>
      </c>
      <c r="W62" s="10">
        <v>0.47</v>
      </c>
      <c r="X62" s="9">
        <v>0.65</v>
      </c>
      <c r="Y62" s="16">
        <f t="shared" si="16"/>
        <v>147.19999999999999</v>
      </c>
      <c r="Z62" s="5"/>
      <c r="AA62" s="5"/>
      <c r="AB62" s="5"/>
      <c r="AC62" s="5"/>
      <c r="AD62" s="5"/>
      <c r="AE62" s="5"/>
      <c r="AF62" s="5"/>
      <c r="BK62" s="243"/>
      <c r="BL62" s="30"/>
      <c r="BM62" s="30"/>
      <c r="BN62" s="30"/>
      <c r="BO62" s="30"/>
      <c r="BP62" s="30"/>
      <c r="BQ62" s="30"/>
      <c r="BR62" s="30"/>
      <c r="BS62" s="30"/>
      <c r="BT62" s="30"/>
      <c r="CU62" s="5"/>
    </row>
    <row r="63" spans="2:100" ht="15" customHeight="1" x14ac:dyDescent="0.2">
      <c r="B63" s="5"/>
      <c r="C63" s="5"/>
      <c r="D63" s="5"/>
      <c r="E63" s="5"/>
      <c r="J63" s="5"/>
      <c r="K63" s="5"/>
      <c r="L63" s="5"/>
      <c r="M63" s="5"/>
      <c r="N63" s="5"/>
      <c r="O63" s="5"/>
      <c r="P63" s="462">
        <v>2.5</v>
      </c>
      <c r="Q63" s="451"/>
      <c r="R63" s="16">
        <v>5.8579999999999997</v>
      </c>
      <c r="S63" s="91">
        <v>2.343</v>
      </c>
      <c r="T63" s="5"/>
      <c r="U63" s="16">
        <f t="shared" si="18"/>
        <v>65</v>
      </c>
      <c r="V63" s="9" t="s">
        <v>51</v>
      </c>
      <c r="W63" s="10">
        <v>0.47</v>
      </c>
      <c r="X63" s="9">
        <v>0.65</v>
      </c>
      <c r="Y63" s="16">
        <f t="shared" si="16"/>
        <v>149</v>
      </c>
      <c r="Z63" s="5"/>
      <c r="AA63" s="5"/>
      <c r="AB63" s="5"/>
      <c r="AC63" s="5"/>
      <c r="AD63" s="5"/>
      <c r="AE63" s="5"/>
      <c r="AF63" s="5"/>
      <c r="BK63" s="243"/>
      <c r="BL63" s="30"/>
      <c r="BM63" s="30"/>
      <c r="BN63" s="30"/>
      <c r="BO63" s="30"/>
      <c r="BP63" s="30"/>
      <c r="BQ63" s="30"/>
      <c r="BR63" s="30"/>
      <c r="BS63" s="30"/>
      <c r="BT63" s="30"/>
      <c r="CU63" s="5"/>
    </row>
    <row r="64" spans="2:100" ht="15" customHeight="1" x14ac:dyDescent="0.2">
      <c r="B64" s="5"/>
      <c r="C64" s="5"/>
      <c r="D64" s="5"/>
      <c r="E64" s="5"/>
      <c r="J64" s="5"/>
      <c r="K64" s="5"/>
      <c r="L64" s="5"/>
      <c r="M64" s="5"/>
      <c r="N64" s="5"/>
      <c r="O64" s="5"/>
      <c r="P64" s="462">
        <v>3</v>
      </c>
      <c r="Q64" s="451"/>
      <c r="R64" s="16">
        <v>8.8460000000000001</v>
      </c>
      <c r="S64" s="91">
        <v>3.5379999999999998</v>
      </c>
      <c r="T64" s="5"/>
      <c r="U64" s="16">
        <f t="shared" si="18"/>
        <v>66</v>
      </c>
      <c r="V64" s="9" t="s">
        <v>51</v>
      </c>
      <c r="W64" s="10">
        <v>0.33</v>
      </c>
      <c r="X64" s="9">
        <v>0.57999999999999996</v>
      </c>
      <c r="Y64" s="16">
        <f t="shared" si="16"/>
        <v>150.80000000000001</v>
      </c>
      <c r="Z64" s="5"/>
      <c r="AA64" s="5"/>
      <c r="AB64" s="5"/>
      <c r="AC64" s="5"/>
      <c r="AD64" s="5"/>
      <c r="AE64" s="5"/>
      <c r="AF64" s="5"/>
      <c r="BK64" s="243"/>
      <c r="BL64" s="30"/>
      <c r="BM64" s="30"/>
      <c r="BN64" s="30"/>
      <c r="BO64" s="30"/>
      <c r="BP64" s="30"/>
      <c r="BQ64" s="30"/>
      <c r="BR64" s="30"/>
      <c r="BS64" s="30"/>
      <c r="BT64" s="30"/>
      <c r="CU64" s="5"/>
    </row>
    <row r="65" spans="2:99" ht="15" customHeight="1" x14ac:dyDescent="0.2">
      <c r="B65" s="5"/>
      <c r="C65" s="5"/>
      <c r="D65" s="5"/>
      <c r="E65" s="5"/>
      <c r="J65" s="5"/>
      <c r="K65" s="5"/>
      <c r="L65" s="5"/>
      <c r="M65" s="5"/>
      <c r="N65" s="5"/>
      <c r="O65" s="5"/>
      <c r="P65" s="462">
        <v>3.5</v>
      </c>
      <c r="Q65" s="451"/>
      <c r="R65" s="16">
        <v>11.545</v>
      </c>
      <c r="S65" s="91">
        <v>4.6180000000000003</v>
      </c>
      <c r="T65" s="5"/>
      <c r="U65" s="16">
        <f t="shared" si="18"/>
        <v>67</v>
      </c>
      <c r="V65" s="9" t="s">
        <v>51</v>
      </c>
      <c r="W65" s="10">
        <v>0.33</v>
      </c>
      <c r="X65" s="9">
        <v>0.57999999999999996</v>
      </c>
      <c r="Y65" s="16">
        <f t="shared" si="16"/>
        <v>152.60000000000002</v>
      </c>
      <c r="Z65" s="5"/>
      <c r="AA65" s="5"/>
      <c r="AB65" s="5"/>
      <c r="AC65" s="5"/>
      <c r="AD65" s="5"/>
      <c r="AE65" s="5"/>
      <c r="AF65" s="5"/>
      <c r="BK65" s="243"/>
      <c r="BL65" s="30"/>
      <c r="BM65" s="30"/>
      <c r="BN65" s="30"/>
      <c r="BO65" s="30"/>
      <c r="BP65" s="30"/>
      <c r="BQ65" s="30"/>
      <c r="BR65" s="30"/>
      <c r="BS65" s="30"/>
      <c r="BT65" s="30"/>
      <c r="CU65" s="5"/>
    </row>
    <row r="66" spans="2:99" ht="15" customHeight="1" x14ac:dyDescent="0.2">
      <c r="B66" s="5"/>
      <c r="C66" s="5"/>
      <c r="D66" s="5"/>
      <c r="E66" s="5"/>
      <c r="J66" s="5"/>
      <c r="K66" s="5"/>
      <c r="L66" s="5"/>
      <c r="M66" s="5"/>
      <c r="N66" s="5"/>
      <c r="O66" s="5"/>
      <c r="P66" s="480">
        <v>4</v>
      </c>
      <c r="Q66" s="481"/>
      <c r="R66" s="92">
        <v>14.753</v>
      </c>
      <c r="S66" s="98">
        <v>5.9009999999999998</v>
      </c>
      <c r="T66" s="5"/>
      <c r="U66" s="16">
        <f t="shared" si="18"/>
        <v>68</v>
      </c>
      <c r="V66" s="9" t="s">
        <v>51</v>
      </c>
      <c r="W66" s="10">
        <v>0.33</v>
      </c>
      <c r="X66" s="9">
        <v>0.57999999999999996</v>
      </c>
      <c r="Y66" s="16">
        <f t="shared" si="16"/>
        <v>154.4</v>
      </c>
      <c r="Z66" s="5"/>
      <c r="AA66" s="5"/>
      <c r="AB66" s="5"/>
      <c r="AC66" s="5"/>
      <c r="AD66" s="5"/>
      <c r="AE66" s="5"/>
      <c r="AF66" s="5"/>
      <c r="BK66" s="243"/>
      <c r="BL66" s="30"/>
      <c r="BM66" s="30"/>
      <c r="BN66" s="30"/>
      <c r="BO66" s="30"/>
      <c r="BP66" s="30"/>
      <c r="BQ66" s="30"/>
      <c r="BR66" s="30"/>
      <c r="BS66" s="30"/>
      <c r="BT66" s="30"/>
      <c r="CU66" s="5"/>
    </row>
    <row r="67" spans="2:99" ht="15" customHeight="1" x14ac:dyDescent="0.2">
      <c r="B67" s="5"/>
      <c r="C67" s="5"/>
      <c r="D67" s="5"/>
      <c r="E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16">
        <f t="shared" si="18"/>
        <v>69</v>
      </c>
      <c r="V67" s="9" t="s">
        <v>51</v>
      </c>
      <c r="W67" s="10">
        <v>0.33</v>
      </c>
      <c r="X67" s="9">
        <v>0.57999999999999996</v>
      </c>
      <c r="Y67" s="16">
        <f t="shared" si="16"/>
        <v>156.19999999999999</v>
      </c>
      <c r="Z67" s="5"/>
      <c r="AA67" s="5"/>
      <c r="AB67" s="5"/>
      <c r="AC67" s="5"/>
      <c r="AD67" s="5"/>
      <c r="AE67" s="5"/>
      <c r="AF67" s="5"/>
      <c r="BK67" s="243"/>
      <c r="BL67" s="30"/>
      <c r="BM67" s="30"/>
      <c r="BN67" s="30"/>
      <c r="BO67" s="30"/>
      <c r="BP67" s="30"/>
      <c r="BQ67" s="30"/>
      <c r="BR67" s="30"/>
      <c r="BS67" s="30"/>
      <c r="BT67" s="30"/>
      <c r="CU67" s="5"/>
    </row>
    <row r="68" spans="2:99" ht="15" customHeight="1" x14ac:dyDescent="0.2">
      <c r="B68" s="5"/>
      <c r="C68" s="5"/>
      <c r="D68" s="5"/>
      <c r="E68" s="5"/>
      <c r="J68" s="5"/>
      <c r="K68" s="5"/>
      <c r="L68" s="5"/>
      <c r="M68" s="5"/>
      <c r="N68" s="5"/>
      <c r="O68" s="5"/>
      <c r="P68" s="482" t="s">
        <v>16</v>
      </c>
      <c r="Q68" s="482"/>
      <c r="R68" s="482"/>
      <c r="S68" s="482"/>
      <c r="T68" s="5"/>
      <c r="U68" s="16">
        <f t="shared" si="18"/>
        <v>70</v>
      </c>
      <c r="V68" s="9" t="s">
        <v>51</v>
      </c>
      <c r="W68" s="10">
        <v>0.33</v>
      </c>
      <c r="X68" s="9">
        <v>0.57999999999999996</v>
      </c>
      <c r="Y68" s="16">
        <f t="shared" si="16"/>
        <v>158</v>
      </c>
      <c r="Z68" s="5"/>
      <c r="AA68" s="5"/>
      <c r="AB68" s="5"/>
      <c r="AC68" s="5"/>
      <c r="AD68" s="5"/>
      <c r="AE68" s="5"/>
      <c r="AF68" s="5"/>
      <c r="BK68" s="243"/>
      <c r="BL68" s="30"/>
      <c r="BM68" s="30"/>
      <c r="BN68" s="30"/>
      <c r="BO68" s="30"/>
      <c r="BP68" s="30"/>
      <c r="BQ68" s="30"/>
      <c r="BR68" s="30"/>
      <c r="BS68" s="30"/>
      <c r="BT68" s="30"/>
      <c r="CU68" s="5"/>
    </row>
    <row r="69" spans="2:99" ht="15" customHeight="1" x14ac:dyDescent="0.2">
      <c r="B69" s="5"/>
      <c r="C69" s="5"/>
      <c r="D69" s="5"/>
      <c r="E69" s="5"/>
      <c r="J69" s="5"/>
      <c r="K69" s="5"/>
      <c r="L69" s="5"/>
      <c r="M69" s="5"/>
      <c r="N69" s="5"/>
      <c r="O69" s="5"/>
      <c r="P69" s="482"/>
      <c r="Q69" s="482"/>
      <c r="R69" s="482"/>
      <c r="S69" s="482"/>
      <c r="T69" s="5"/>
      <c r="U69" s="16">
        <f t="shared" si="18"/>
        <v>71</v>
      </c>
      <c r="V69" s="9" t="s">
        <v>51</v>
      </c>
      <c r="W69" s="10" t="s">
        <v>51</v>
      </c>
      <c r="X69" s="9">
        <v>0.5</v>
      </c>
      <c r="Y69" s="16">
        <f t="shared" si="16"/>
        <v>159.80000000000001</v>
      </c>
      <c r="Z69" s="5"/>
      <c r="AA69" s="5"/>
      <c r="AB69" s="5"/>
      <c r="AC69" s="5"/>
      <c r="AD69" s="5"/>
      <c r="AE69" s="5"/>
      <c r="AF69" s="5"/>
      <c r="BK69" s="243"/>
      <c r="BL69" s="30"/>
      <c r="BM69" s="30"/>
      <c r="BN69" s="30"/>
      <c r="BO69" s="30"/>
      <c r="BP69" s="30"/>
      <c r="BQ69" s="30"/>
      <c r="BR69" s="30"/>
      <c r="BS69" s="30"/>
      <c r="BT69" s="30"/>
      <c r="CU69" s="5"/>
    </row>
    <row r="70" spans="2:99" ht="15" customHeight="1" x14ac:dyDescent="0.2">
      <c r="B70" s="5"/>
      <c r="C70" s="5"/>
      <c r="D70" s="5"/>
      <c r="E70" s="5"/>
      <c r="J70" s="5"/>
      <c r="K70" s="5"/>
      <c r="L70" s="5"/>
      <c r="M70" s="5"/>
      <c r="N70" s="5"/>
      <c r="O70" s="5"/>
      <c r="P70" s="471" t="s">
        <v>18</v>
      </c>
      <c r="Q70" s="471"/>
      <c r="R70" s="471" t="s">
        <v>17</v>
      </c>
      <c r="S70" s="471"/>
      <c r="T70" s="5"/>
      <c r="U70" s="16">
        <f t="shared" si="18"/>
        <v>72</v>
      </c>
      <c r="V70" s="9" t="s">
        <v>51</v>
      </c>
      <c r="W70" s="10" t="s">
        <v>51</v>
      </c>
      <c r="X70" s="9">
        <v>0.5</v>
      </c>
      <c r="Y70" s="16">
        <f t="shared" si="16"/>
        <v>161.6</v>
      </c>
      <c r="Z70" s="5"/>
      <c r="AA70" s="5"/>
      <c r="AB70" s="5"/>
      <c r="AC70" s="5"/>
      <c r="AD70" s="5"/>
      <c r="AE70" s="5"/>
      <c r="AF70" s="5"/>
      <c r="BK70" s="243"/>
      <c r="BL70" s="30"/>
      <c r="BM70" s="30"/>
      <c r="BN70" s="30"/>
      <c r="BO70" s="30"/>
      <c r="BP70" s="30"/>
      <c r="BQ70" s="30"/>
      <c r="BR70" s="30"/>
      <c r="BS70" s="30"/>
      <c r="BT70" s="30"/>
      <c r="CU70" s="5"/>
    </row>
    <row r="71" spans="2:99" ht="15" customHeight="1" x14ac:dyDescent="0.2">
      <c r="B71" s="5"/>
      <c r="C71" s="5"/>
      <c r="D71" s="5"/>
      <c r="E71" s="5"/>
      <c r="J71" s="5"/>
      <c r="K71" s="5"/>
      <c r="L71" s="5"/>
      <c r="M71" s="5"/>
      <c r="N71" s="5"/>
      <c r="O71" s="5"/>
      <c r="P71" s="462">
        <v>18</v>
      </c>
      <c r="Q71" s="451"/>
      <c r="R71" s="462" t="s">
        <v>51</v>
      </c>
      <c r="S71" s="451"/>
      <c r="T71" s="5"/>
      <c r="U71" s="16">
        <f t="shared" si="18"/>
        <v>73</v>
      </c>
      <c r="V71" s="9" t="s">
        <v>51</v>
      </c>
      <c r="W71" s="10" t="s">
        <v>51</v>
      </c>
      <c r="X71" s="9">
        <v>0.5</v>
      </c>
      <c r="Y71" s="16">
        <f t="shared" si="16"/>
        <v>163.4</v>
      </c>
      <c r="Z71" s="5"/>
      <c r="AA71" s="5"/>
      <c r="AB71" s="5"/>
      <c r="AC71" s="5"/>
      <c r="AD71" s="5"/>
      <c r="AE71" s="5"/>
      <c r="AF71" s="5"/>
      <c r="BK71" s="243"/>
      <c r="BL71" s="30"/>
      <c r="BM71" s="30"/>
      <c r="BN71" s="30"/>
      <c r="BO71" s="30"/>
      <c r="BP71" s="30"/>
      <c r="BQ71" s="30"/>
      <c r="BR71" s="30"/>
      <c r="BS71" s="30"/>
      <c r="BT71" s="30"/>
      <c r="CU71" s="5"/>
    </row>
    <row r="72" spans="2:99" ht="15" customHeight="1" x14ac:dyDescent="0.2">
      <c r="B72" s="5"/>
      <c r="C72" s="5"/>
      <c r="D72" s="5"/>
      <c r="E72" s="5"/>
      <c r="J72" s="5"/>
      <c r="K72" s="5"/>
      <c r="L72" s="5"/>
      <c r="M72" s="5"/>
      <c r="N72" s="5"/>
      <c r="O72" s="5"/>
      <c r="P72" s="462">
        <v>16</v>
      </c>
      <c r="Q72" s="451"/>
      <c r="R72" s="462" t="s">
        <v>51</v>
      </c>
      <c r="S72" s="451"/>
      <c r="T72" s="5"/>
      <c r="U72" s="16">
        <f t="shared" si="18"/>
        <v>74</v>
      </c>
      <c r="V72" s="9" t="s">
        <v>51</v>
      </c>
      <c r="W72" s="10" t="s">
        <v>51</v>
      </c>
      <c r="X72" s="9">
        <v>0.5</v>
      </c>
      <c r="Y72" s="16">
        <f t="shared" si="16"/>
        <v>165.20000000000002</v>
      </c>
      <c r="Z72" s="5"/>
      <c r="AA72" s="5"/>
      <c r="AB72" s="5"/>
      <c r="AC72" s="5"/>
      <c r="AD72" s="5"/>
      <c r="AE72" s="5"/>
      <c r="AF72" s="5"/>
      <c r="BK72" s="243"/>
      <c r="BL72" s="30"/>
      <c r="BM72" s="30"/>
      <c r="BN72" s="30"/>
      <c r="BO72" s="30"/>
      <c r="BP72" s="30"/>
      <c r="BQ72" s="30"/>
      <c r="BR72" s="30"/>
      <c r="BS72" s="30"/>
      <c r="BT72" s="30"/>
      <c r="CU72" s="5"/>
    </row>
    <row r="73" spans="2:99" ht="15" customHeight="1" x14ac:dyDescent="0.2">
      <c r="B73" s="5"/>
      <c r="C73" s="5"/>
      <c r="D73" s="5"/>
      <c r="E73" s="5"/>
      <c r="J73" s="5"/>
      <c r="K73" s="5"/>
      <c r="L73" s="5"/>
      <c r="M73" s="5"/>
      <c r="N73" s="5"/>
      <c r="O73" s="5"/>
      <c r="P73" s="462">
        <v>14</v>
      </c>
      <c r="Q73" s="451"/>
      <c r="R73" s="462">
        <v>20</v>
      </c>
      <c r="S73" s="451"/>
      <c r="T73" s="5"/>
      <c r="U73" s="16">
        <f t="shared" si="18"/>
        <v>75</v>
      </c>
      <c r="V73" s="9" t="s">
        <v>51</v>
      </c>
      <c r="W73" s="10" t="s">
        <v>51</v>
      </c>
      <c r="X73" s="9">
        <v>0.5</v>
      </c>
      <c r="Y73" s="16">
        <f t="shared" ref="Y73:Y83" si="29">(U73*1.8)+32</f>
        <v>167</v>
      </c>
      <c r="Z73" s="5"/>
      <c r="AA73" s="5"/>
      <c r="AB73" s="5"/>
      <c r="AC73" s="5"/>
      <c r="AD73" s="5"/>
      <c r="AE73" s="5"/>
      <c r="AF73" s="5"/>
      <c r="BK73" s="243"/>
      <c r="BL73" s="30"/>
      <c r="BM73" s="30"/>
      <c r="BN73" s="30"/>
      <c r="BO73" s="30"/>
      <c r="BP73" s="30"/>
      <c r="BQ73" s="30"/>
      <c r="BR73" s="30"/>
      <c r="BS73" s="30"/>
      <c r="BT73" s="30"/>
      <c r="CU73" s="5"/>
    </row>
    <row r="74" spans="2:99" ht="15" customHeight="1" x14ac:dyDescent="0.2">
      <c r="B74" s="5"/>
      <c r="C74" s="5"/>
      <c r="D74" s="5"/>
      <c r="E74" s="5"/>
      <c r="J74" s="5"/>
      <c r="K74" s="5"/>
      <c r="L74" s="5"/>
      <c r="M74" s="5"/>
      <c r="N74" s="5"/>
      <c r="O74" s="5"/>
      <c r="P74" s="462">
        <v>12</v>
      </c>
      <c r="Q74" s="451"/>
      <c r="R74" s="462">
        <v>25</v>
      </c>
      <c r="S74" s="451"/>
      <c r="T74" s="5"/>
      <c r="U74" s="16">
        <f t="shared" ref="U74:U83" si="30">U73+1</f>
        <v>76</v>
      </c>
      <c r="V74" s="9" t="s">
        <v>51</v>
      </c>
      <c r="W74" s="10" t="s">
        <v>51</v>
      </c>
      <c r="X74" s="9">
        <v>0.41</v>
      </c>
      <c r="Y74" s="16">
        <f t="shared" si="29"/>
        <v>168.8</v>
      </c>
      <c r="Z74" s="5"/>
      <c r="AA74" s="5"/>
      <c r="AB74" s="5"/>
      <c r="AC74" s="5"/>
      <c r="AD74" s="5"/>
      <c r="AE74" s="5"/>
      <c r="AF74" s="5"/>
      <c r="BK74" s="243"/>
      <c r="BL74" s="30"/>
      <c r="BM74" s="30"/>
      <c r="BN74" s="30"/>
      <c r="BO74" s="30"/>
      <c r="BP74" s="30"/>
      <c r="BQ74" s="30"/>
      <c r="BR74" s="30"/>
      <c r="BS74" s="30"/>
      <c r="BT74" s="30"/>
      <c r="CU74" s="5"/>
    </row>
    <row r="75" spans="2:99" ht="15" customHeight="1" x14ac:dyDescent="0.2">
      <c r="B75" s="5"/>
      <c r="C75" s="5"/>
      <c r="D75" s="5"/>
      <c r="E75" s="5"/>
      <c r="J75" s="5"/>
      <c r="K75" s="5"/>
      <c r="L75" s="5"/>
      <c r="M75" s="5"/>
      <c r="N75" s="5"/>
      <c r="O75" s="5"/>
      <c r="P75" s="462">
        <v>10</v>
      </c>
      <c r="Q75" s="451"/>
      <c r="R75" s="462">
        <v>35</v>
      </c>
      <c r="S75" s="451"/>
      <c r="T75" s="5"/>
      <c r="U75" s="16">
        <f t="shared" si="30"/>
        <v>77</v>
      </c>
      <c r="V75" s="9" t="s">
        <v>51</v>
      </c>
      <c r="W75" s="10" t="s">
        <v>51</v>
      </c>
      <c r="X75" s="9">
        <v>0.41</v>
      </c>
      <c r="Y75" s="16">
        <f t="shared" si="29"/>
        <v>170.6</v>
      </c>
      <c r="Z75" s="5"/>
      <c r="AA75" s="5"/>
      <c r="AB75" s="5"/>
      <c r="AC75" s="5"/>
      <c r="AD75" s="5"/>
      <c r="AE75" s="5"/>
      <c r="AF75" s="5"/>
      <c r="BK75" s="243"/>
      <c r="BL75" s="30"/>
      <c r="BM75" s="30"/>
      <c r="BN75" s="30"/>
      <c r="BO75" s="30"/>
      <c r="BP75" s="30"/>
      <c r="BQ75" s="30"/>
      <c r="BR75" s="30"/>
      <c r="BS75" s="30"/>
      <c r="BT75" s="30"/>
      <c r="CU75" s="5"/>
    </row>
    <row r="76" spans="2:99" ht="15" customHeight="1" x14ac:dyDescent="0.2">
      <c r="B76" s="5"/>
      <c r="C76" s="5"/>
      <c r="D76" s="5"/>
      <c r="E76" s="5"/>
      <c r="J76" s="5"/>
      <c r="K76" s="5"/>
      <c r="L76" s="5"/>
      <c r="M76" s="5"/>
      <c r="N76" s="5"/>
      <c r="O76" s="5"/>
      <c r="P76" s="462">
        <v>8</v>
      </c>
      <c r="Q76" s="451"/>
      <c r="R76" s="462">
        <v>50</v>
      </c>
      <c r="S76" s="451"/>
      <c r="T76" s="5"/>
      <c r="U76" s="16">
        <f t="shared" si="30"/>
        <v>78</v>
      </c>
      <c r="V76" s="9" t="s">
        <v>51</v>
      </c>
      <c r="W76" s="10" t="s">
        <v>51</v>
      </c>
      <c r="X76" s="9">
        <v>0.41</v>
      </c>
      <c r="Y76" s="16">
        <f t="shared" si="29"/>
        <v>172.4</v>
      </c>
      <c r="Z76" s="5"/>
      <c r="AA76" s="5"/>
      <c r="AB76" s="5"/>
      <c r="AC76" s="5"/>
      <c r="AD76" s="5"/>
      <c r="AE76" s="5"/>
      <c r="AF76" s="5"/>
      <c r="BK76" s="243"/>
      <c r="BL76" s="30"/>
      <c r="BM76" s="30"/>
      <c r="BN76" s="30"/>
      <c r="BO76" s="30"/>
      <c r="BP76" s="30"/>
      <c r="BQ76" s="30"/>
      <c r="BR76" s="30"/>
      <c r="BS76" s="30"/>
      <c r="BT76" s="30"/>
      <c r="CU76" s="5"/>
    </row>
    <row r="77" spans="2:99" ht="15" customHeight="1" x14ac:dyDescent="0.2">
      <c r="B77" s="5"/>
      <c r="C77" s="5"/>
      <c r="D77" s="5"/>
      <c r="E77" s="5"/>
      <c r="J77" s="5"/>
      <c r="K77" s="5"/>
      <c r="L77" s="5"/>
      <c r="M77" s="5"/>
      <c r="N77" s="5"/>
      <c r="O77" s="5"/>
      <c r="P77" s="462">
        <v>6</v>
      </c>
      <c r="Q77" s="451"/>
      <c r="R77" s="462">
        <v>65</v>
      </c>
      <c r="S77" s="451"/>
      <c r="T77" s="5"/>
      <c r="U77" s="16">
        <f t="shared" si="30"/>
        <v>79</v>
      </c>
      <c r="V77" s="9" t="s">
        <v>51</v>
      </c>
      <c r="W77" s="10" t="s">
        <v>51</v>
      </c>
      <c r="X77" s="9">
        <v>0.41</v>
      </c>
      <c r="Y77" s="16">
        <f t="shared" si="29"/>
        <v>174.20000000000002</v>
      </c>
      <c r="Z77" s="5"/>
      <c r="AA77" s="5"/>
      <c r="AB77" s="5"/>
      <c r="AC77" s="5"/>
      <c r="AD77" s="5"/>
      <c r="AE77" s="5"/>
      <c r="AF77" s="5"/>
      <c r="BK77" s="243"/>
      <c r="BL77" s="30"/>
      <c r="BM77" s="30"/>
      <c r="BN77" s="30"/>
      <c r="BO77" s="30"/>
      <c r="BP77" s="30"/>
      <c r="BQ77" s="30"/>
      <c r="BR77" s="30"/>
      <c r="BS77" s="30"/>
      <c r="BT77" s="30"/>
      <c r="CU77" s="5"/>
    </row>
    <row r="78" spans="2:99" ht="15" customHeight="1" x14ac:dyDescent="0.2">
      <c r="B78" s="5"/>
      <c r="C78" s="5"/>
      <c r="D78" s="5"/>
      <c r="E78" s="5"/>
      <c r="J78" s="5"/>
      <c r="K78" s="5"/>
      <c r="L78" s="5"/>
      <c r="M78" s="5"/>
      <c r="N78" s="5"/>
      <c r="O78" s="5"/>
      <c r="P78" s="462">
        <v>4</v>
      </c>
      <c r="Q78" s="451"/>
      <c r="R78" s="462">
        <v>85</v>
      </c>
      <c r="S78" s="451"/>
      <c r="T78" s="5"/>
      <c r="U78" s="16">
        <f t="shared" si="30"/>
        <v>80</v>
      </c>
      <c r="V78" s="9" t="s">
        <v>51</v>
      </c>
      <c r="W78" s="10" t="s">
        <v>51</v>
      </c>
      <c r="X78" s="9">
        <v>0.41</v>
      </c>
      <c r="Y78" s="16">
        <f t="shared" si="29"/>
        <v>176</v>
      </c>
      <c r="Z78" s="5"/>
      <c r="AA78" s="5"/>
      <c r="AB78" s="5"/>
      <c r="AC78" s="5"/>
      <c r="AD78" s="5"/>
      <c r="AE78" s="5"/>
      <c r="AF78" s="5"/>
      <c r="BK78" s="243"/>
      <c r="BL78" s="30"/>
      <c r="BM78" s="30"/>
      <c r="BN78" s="30"/>
      <c r="BO78" s="30"/>
      <c r="BP78" s="30"/>
      <c r="BQ78" s="30"/>
      <c r="BR78" s="30"/>
      <c r="BS78" s="30"/>
      <c r="BT78" s="30"/>
      <c r="CU78" s="5"/>
    </row>
    <row r="79" spans="2:99" ht="15" customHeight="1" x14ac:dyDescent="0.2">
      <c r="B79" s="5"/>
      <c r="C79" s="5"/>
      <c r="D79" s="5"/>
      <c r="E79" s="5"/>
      <c r="J79" s="5"/>
      <c r="K79" s="5"/>
      <c r="L79" s="5"/>
      <c r="M79" s="5"/>
      <c r="N79" s="5"/>
      <c r="O79" s="5"/>
      <c r="P79" s="462">
        <v>3</v>
      </c>
      <c r="Q79" s="451"/>
      <c r="R79" s="462">
        <v>100</v>
      </c>
      <c r="S79" s="451"/>
      <c r="T79" s="5"/>
      <c r="U79" s="16">
        <f t="shared" si="30"/>
        <v>81</v>
      </c>
      <c r="V79" s="9" t="s">
        <v>51</v>
      </c>
      <c r="W79" s="10" t="s">
        <v>51</v>
      </c>
      <c r="X79" s="9">
        <v>0.28999999999999998</v>
      </c>
      <c r="Y79" s="16">
        <f t="shared" si="29"/>
        <v>177.8</v>
      </c>
      <c r="Z79" s="5"/>
      <c r="AA79" s="5"/>
      <c r="AB79" s="5"/>
      <c r="AC79" s="5"/>
      <c r="AD79" s="5"/>
      <c r="AE79" s="5"/>
      <c r="AF79" s="5"/>
      <c r="BK79" s="243"/>
      <c r="BL79" s="30"/>
      <c r="BM79" s="30"/>
      <c r="BN79" s="30"/>
      <c r="BO79" s="30"/>
      <c r="BP79" s="30"/>
      <c r="BQ79" s="30"/>
      <c r="BR79" s="30"/>
      <c r="BS79" s="30"/>
      <c r="BT79" s="30"/>
      <c r="CU79" s="5"/>
    </row>
    <row r="80" spans="2:99" ht="15" customHeight="1" x14ac:dyDescent="0.2">
      <c r="B80" s="5"/>
      <c r="C80" s="5"/>
      <c r="D80" s="5"/>
      <c r="E80" s="5"/>
      <c r="J80" s="5"/>
      <c r="K80" s="5"/>
      <c r="L80" s="5"/>
      <c r="M80" s="5"/>
      <c r="N80" s="5"/>
      <c r="O80" s="5"/>
      <c r="P80" s="462">
        <v>2</v>
      </c>
      <c r="Q80" s="451"/>
      <c r="R80" s="462">
        <v>115</v>
      </c>
      <c r="S80" s="451"/>
      <c r="T80" s="5"/>
      <c r="U80" s="16">
        <f t="shared" si="30"/>
        <v>82</v>
      </c>
      <c r="V80" s="9" t="s">
        <v>51</v>
      </c>
      <c r="W80" s="10" t="s">
        <v>51</v>
      </c>
      <c r="X80" s="9">
        <v>0.28999999999999998</v>
      </c>
      <c r="Y80" s="16">
        <f t="shared" si="29"/>
        <v>179.6</v>
      </c>
      <c r="Z80" s="5"/>
      <c r="AA80" s="5"/>
      <c r="AB80" s="5"/>
      <c r="AC80" s="5"/>
      <c r="AD80" s="5"/>
      <c r="AE80" s="5"/>
      <c r="AF80" s="5"/>
      <c r="BK80" s="243"/>
      <c r="BL80" s="30"/>
      <c r="BM80" s="30"/>
      <c r="BN80" s="30"/>
      <c r="BO80" s="30"/>
      <c r="BP80" s="30"/>
      <c r="BQ80" s="30"/>
      <c r="BR80" s="30"/>
      <c r="BS80" s="30"/>
      <c r="BT80" s="30"/>
      <c r="CU80" s="5"/>
    </row>
    <row r="81" spans="2:99" ht="15" customHeight="1" x14ac:dyDescent="0.2">
      <c r="B81" s="5"/>
      <c r="C81" s="5"/>
      <c r="D81" s="5"/>
      <c r="E81" s="5"/>
      <c r="J81" s="5"/>
      <c r="K81" s="5"/>
      <c r="L81" s="5"/>
      <c r="M81" s="5"/>
      <c r="N81" s="5"/>
      <c r="O81" s="5"/>
      <c r="P81" s="462">
        <v>1</v>
      </c>
      <c r="Q81" s="451"/>
      <c r="R81" s="450">
        <v>130</v>
      </c>
      <c r="S81" s="451"/>
      <c r="T81" s="5"/>
      <c r="U81" s="16">
        <f t="shared" si="30"/>
        <v>83</v>
      </c>
      <c r="V81" s="9" t="s">
        <v>51</v>
      </c>
      <c r="W81" s="10" t="s">
        <v>51</v>
      </c>
      <c r="X81" s="9">
        <v>0.28999999999999998</v>
      </c>
      <c r="Y81" s="16">
        <f t="shared" si="29"/>
        <v>181.4</v>
      </c>
      <c r="Z81" s="5"/>
      <c r="AA81" s="5"/>
      <c r="AB81" s="5"/>
      <c r="AC81" s="5"/>
      <c r="AD81" s="5"/>
      <c r="AE81" s="5"/>
      <c r="AF81" s="5"/>
      <c r="BK81" s="243"/>
      <c r="BL81" s="30"/>
      <c r="BM81" s="30"/>
      <c r="BN81" s="30"/>
      <c r="BO81" s="30"/>
      <c r="BP81" s="30"/>
      <c r="BQ81" s="30"/>
      <c r="BR81" s="30"/>
      <c r="BS81" s="30"/>
      <c r="BT81" s="30"/>
      <c r="CU81" s="5"/>
    </row>
    <row r="82" spans="2:99" ht="15" customHeight="1" x14ac:dyDescent="0.2">
      <c r="B82" s="5"/>
      <c r="C82" s="5"/>
      <c r="D82" s="5"/>
      <c r="E82" s="5"/>
      <c r="J82" s="5"/>
      <c r="K82" s="5"/>
      <c r="L82" s="5"/>
      <c r="M82" s="5"/>
      <c r="N82" s="5"/>
      <c r="O82" s="5"/>
      <c r="P82" s="448" t="s">
        <v>19</v>
      </c>
      <c r="Q82" s="449"/>
      <c r="R82" s="450">
        <v>150</v>
      </c>
      <c r="S82" s="451"/>
      <c r="T82" s="5"/>
      <c r="U82" s="16">
        <f t="shared" si="30"/>
        <v>84</v>
      </c>
      <c r="V82" s="9" t="s">
        <v>51</v>
      </c>
      <c r="W82" s="10" t="s">
        <v>51</v>
      </c>
      <c r="X82" s="9">
        <v>0.28999999999999998</v>
      </c>
      <c r="Y82" s="16">
        <f t="shared" si="29"/>
        <v>183.20000000000002</v>
      </c>
      <c r="Z82" s="5"/>
      <c r="AA82" s="5"/>
      <c r="AB82" s="5"/>
      <c r="AC82" s="5"/>
      <c r="AD82" s="5"/>
      <c r="AE82" s="5"/>
      <c r="AF82" s="5"/>
      <c r="BK82" s="243"/>
      <c r="BL82" s="30"/>
      <c r="BM82" s="30"/>
      <c r="BN82" s="30"/>
      <c r="BO82" s="30"/>
      <c r="BP82" s="30"/>
      <c r="BQ82" s="30"/>
      <c r="BR82" s="30"/>
      <c r="BS82" s="30"/>
      <c r="BT82" s="30"/>
      <c r="CU82" s="5"/>
    </row>
    <row r="83" spans="2:99" ht="15" customHeight="1" x14ac:dyDescent="0.2">
      <c r="B83" s="5"/>
      <c r="C83" s="5"/>
      <c r="D83" s="5"/>
      <c r="E83" s="5"/>
      <c r="J83" s="5"/>
      <c r="K83" s="5"/>
      <c r="L83" s="5"/>
      <c r="M83" s="5"/>
      <c r="N83" s="5"/>
      <c r="O83" s="5"/>
      <c r="P83" s="448" t="s">
        <v>29</v>
      </c>
      <c r="Q83" s="449"/>
      <c r="R83" s="450">
        <v>175</v>
      </c>
      <c r="S83" s="451"/>
      <c r="T83" s="5"/>
      <c r="U83" s="92">
        <f t="shared" si="30"/>
        <v>85</v>
      </c>
      <c r="V83" s="104" t="s">
        <v>51</v>
      </c>
      <c r="W83" s="11" t="s">
        <v>51</v>
      </c>
      <c r="X83" s="12">
        <v>0.28999999999999998</v>
      </c>
      <c r="Y83" s="92">
        <f t="shared" si="29"/>
        <v>185</v>
      </c>
      <c r="Z83" s="5"/>
      <c r="AA83" s="5"/>
      <c r="AB83" s="5"/>
      <c r="AC83" s="5"/>
      <c r="AD83" s="5"/>
      <c r="AE83" s="5"/>
      <c r="AF83" s="5"/>
      <c r="BK83" s="243"/>
      <c r="BL83" s="30"/>
      <c r="BM83" s="30"/>
      <c r="BN83" s="30"/>
      <c r="BO83" s="30"/>
      <c r="BP83" s="30"/>
      <c r="BQ83" s="30"/>
      <c r="BR83" s="30"/>
      <c r="BS83" s="30"/>
      <c r="BT83" s="30"/>
      <c r="CU83" s="5"/>
    </row>
    <row r="84" spans="2:99" ht="15" customHeight="1" x14ac:dyDescent="0.2">
      <c r="B84" s="5"/>
      <c r="C84" s="5"/>
      <c r="D84" s="5"/>
      <c r="E84" s="5"/>
      <c r="J84" s="5"/>
      <c r="K84" s="5"/>
      <c r="L84" s="5"/>
      <c r="M84" s="5"/>
      <c r="N84" s="5"/>
      <c r="O84" s="5"/>
      <c r="P84" s="448" t="s">
        <v>28</v>
      </c>
      <c r="Q84" s="449"/>
      <c r="R84" s="450">
        <v>200</v>
      </c>
      <c r="S84" s="451"/>
      <c r="T84" s="5"/>
      <c r="U84" s="5"/>
      <c r="Y84" s="5"/>
      <c r="Z84" s="5"/>
      <c r="AA84" s="5"/>
      <c r="AB84" s="5"/>
      <c r="AC84" s="5"/>
      <c r="AD84" s="5"/>
      <c r="AE84" s="5"/>
      <c r="AF84" s="5"/>
      <c r="BK84" s="243"/>
      <c r="BL84" s="30"/>
      <c r="BM84" s="30"/>
      <c r="BN84" s="30"/>
      <c r="BO84" s="30"/>
      <c r="BP84" s="30"/>
      <c r="BQ84" s="30"/>
      <c r="BR84" s="30"/>
      <c r="BS84" s="30"/>
      <c r="BT84" s="30"/>
      <c r="CU84" s="5"/>
    </row>
    <row r="85" spans="2:99" ht="15" customHeight="1" x14ac:dyDescent="0.2">
      <c r="B85" s="5"/>
      <c r="C85" s="5"/>
      <c r="D85" s="5"/>
      <c r="E85" s="5"/>
      <c r="J85" s="5"/>
      <c r="K85" s="5"/>
      <c r="L85" s="5"/>
      <c r="M85" s="5"/>
      <c r="N85" s="5"/>
      <c r="O85" s="5"/>
      <c r="P85" s="448" t="s">
        <v>27</v>
      </c>
      <c r="Q85" s="449"/>
      <c r="R85" s="450">
        <v>230</v>
      </c>
      <c r="S85" s="451"/>
      <c r="T85" s="5"/>
      <c r="U85" s="5"/>
      <c r="V85" s="5"/>
      <c r="W85" s="17" t="s">
        <v>81</v>
      </c>
      <c r="X85" s="99">
        <v>29</v>
      </c>
      <c r="Y85" s="5"/>
      <c r="Z85" s="15" t="s">
        <v>88</v>
      </c>
      <c r="AA85" s="5"/>
      <c r="AB85" s="5"/>
      <c r="AC85" s="5"/>
      <c r="AD85" s="5"/>
      <c r="AE85" s="5"/>
      <c r="AF85" s="5"/>
      <c r="BK85" s="243"/>
      <c r="BL85" s="30"/>
      <c r="BM85" s="30"/>
      <c r="BN85" s="30"/>
      <c r="BO85" s="30"/>
      <c r="BP85" s="30"/>
      <c r="BQ85" s="30"/>
      <c r="BR85" s="30"/>
      <c r="BS85" s="30"/>
      <c r="BT85" s="30"/>
      <c r="CU85" s="5"/>
    </row>
    <row r="86" spans="2:99" ht="15" customHeight="1" x14ac:dyDescent="0.2">
      <c r="B86" s="5"/>
      <c r="C86" s="5"/>
      <c r="D86" s="5"/>
      <c r="E86" s="5"/>
      <c r="J86" s="5"/>
      <c r="K86" s="5"/>
      <c r="L86" s="5"/>
      <c r="M86" s="5"/>
      <c r="N86" s="5"/>
      <c r="O86" s="5"/>
      <c r="P86" s="448" t="s">
        <v>30</v>
      </c>
      <c r="Q86" s="449"/>
      <c r="R86" s="450">
        <v>255</v>
      </c>
      <c r="S86" s="451"/>
      <c r="T86" s="5"/>
      <c r="U86" s="5"/>
      <c r="V86" s="5"/>
      <c r="W86" s="18" t="s">
        <v>82</v>
      </c>
      <c r="X86" s="91">
        <v>30</v>
      </c>
      <c r="Y86" s="5"/>
      <c r="Z86" s="92" t="s">
        <v>89</v>
      </c>
      <c r="AA86" s="5"/>
      <c r="AB86" s="5"/>
      <c r="AC86" s="5"/>
      <c r="AD86" s="5"/>
      <c r="AE86" s="5"/>
      <c r="AF86" s="5"/>
      <c r="BK86" s="243"/>
      <c r="BL86" s="30"/>
      <c r="BM86" s="30"/>
      <c r="BN86" s="30"/>
      <c r="BO86" s="30"/>
      <c r="BP86" s="30"/>
      <c r="BQ86" s="30"/>
      <c r="BR86" s="30"/>
      <c r="BS86" s="30"/>
      <c r="BT86" s="30"/>
      <c r="CU86" s="5"/>
    </row>
    <row r="87" spans="2:99" ht="15" customHeight="1" x14ac:dyDescent="0.2">
      <c r="B87" s="5"/>
      <c r="C87" s="5"/>
      <c r="D87" s="5"/>
      <c r="E87" s="5"/>
      <c r="J87" s="5"/>
      <c r="K87" s="5"/>
      <c r="L87" s="5"/>
      <c r="M87" s="5"/>
      <c r="N87" s="5"/>
      <c r="O87" s="5"/>
      <c r="P87" s="448" t="s">
        <v>31</v>
      </c>
      <c r="Q87" s="449"/>
      <c r="R87" s="450">
        <v>285</v>
      </c>
      <c r="S87" s="451"/>
      <c r="T87" s="5"/>
      <c r="U87" s="5"/>
      <c r="V87" s="5"/>
      <c r="W87" s="18" t="s">
        <v>83</v>
      </c>
      <c r="X87" s="91">
        <v>32</v>
      </c>
      <c r="Y87" s="5"/>
      <c r="Z87" s="5"/>
      <c r="AA87" s="5"/>
      <c r="AB87" s="5"/>
      <c r="AC87" s="5"/>
      <c r="AD87" s="5"/>
      <c r="AE87" s="5"/>
      <c r="AF87" s="5"/>
      <c r="BK87" s="243"/>
      <c r="BL87" s="30"/>
      <c r="BM87" s="30"/>
      <c r="BN87" s="30"/>
      <c r="BO87" s="30"/>
      <c r="BP87" s="30"/>
      <c r="BQ87" s="30"/>
      <c r="BR87" s="30"/>
      <c r="BS87" s="30"/>
      <c r="BT87" s="30"/>
    </row>
    <row r="88" spans="2:99" ht="15" customHeight="1" x14ac:dyDescent="0.2">
      <c r="B88" s="5"/>
      <c r="C88" s="5"/>
      <c r="D88" s="5"/>
      <c r="E88" s="5"/>
      <c r="J88" s="5"/>
      <c r="K88" s="5"/>
      <c r="L88" s="5"/>
      <c r="M88" s="5"/>
      <c r="N88" s="5"/>
      <c r="O88" s="5"/>
      <c r="P88" s="448" t="s">
        <v>32</v>
      </c>
      <c r="Q88" s="449"/>
      <c r="R88" s="450">
        <v>310</v>
      </c>
      <c r="S88" s="451"/>
      <c r="T88" s="5"/>
      <c r="U88" s="5"/>
      <c r="V88" s="5"/>
      <c r="W88" s="19" t="s">
        <v>84</v>
      </c>
      <c r="X88" s="98">
        <v>36</v>
      </c>
      <c r="Y88" s="5"/>
      <c r="Z88" s="15" t="s">
        <v>86</v>
      </c>
      <c r="AA88" s="5"/>
      <c r="AB88" s="5"/>
      <c r="AC88" s="5"/>
      <c r="AD88" s="5"/>
      <c r="AE88" s="5"/>
      <c r="AF88" s="5"/>
      <c r="BK88" s="243"/>
      <c r="BL88" s="30"/>
      <c r="BM88" s="30"/>
      <c r="BN88" s="30"/>
      <c r="BO88" s="30"/>
      <c r="BP88" s="30"/>
      <c r="BQ88" s="30"/>
      <c r="BR88" s="30"/>
      <c r="BS88" s="30"/>
      <c r="BT88" s="30"/>
    </row>
    <row r="89" spans="2:99" ht="15" customHeight="1" x14ac:dyDescent="0.2">
      <c r="B89" s="5"/>
      <c r="C89" s="5"/>
      <c r="D89" s="5"/>
      <c r="E89" s="5"/>
      <c r="J89" s="5"/>
      <c r="K89" s="5"/>
      <c r="L89" s="5"/>
      <c r="M89" s="5"/>
      <c r="N89" s="5"/>
      <c r="O89" s="5"/>
      <c r="P89" s="448" t="s">
        <v>33</v>
      </c>
      <c r="Q89" s="449"/>
      <c r="R89" s="450">
        <v>335</v>
      </c>
      <c r="S89" s="451"/>
      <c r="T89" s="5"/>
      <c r="U89" s="5"/>
      <c r="V89" s="5"/>
      <c r="W89" s="5"/>
      <c r="X89" s="5"/>
      <c r="Y89" s="5"/>
      <c r="Z89" s="92" t="s">
        <v>87</v>
      </c>
      <c r="AA89" s="5"/>
      <c r="AB89" s="5"/>
      <c r="AC89" s="5"/>
      <c r="AD89" s="5"/>
      <c r="AE89" s="5"/>
      <c r="AF89" s="5"/>
      <c r="BK89" s="243"/>
      <c r="BL89" s="30"/>
      <c r="BM89" s="30"/>
      <c r="BN89" s="30"/>
      <c r="BO89" s="30"/>
      <c r="BP89" s="30"/>
      <c r="BQ89" s="30"/>
      <c r="BR89" s="30"/>
      <c r="BS89" s="30"/>
      <c r="BT89" s="30"/>
    </row>
    <row r="90" spans="2:99" ht="15" customHeight="1" x14ac:dyDescent="0.2">
      <c r="B90" s="5"/>
      <c r="C90" s="5"/>
      <c r="D90" s="5"/>
      <c r="E90" s="5"/>
      <c r="J90" s="5"/>
      <c r="K90" s="5"/>
      <c r="L90" s="5"/>
      <c r="M90" s="5"/>
      <c r="N90" s="5"/>
      <c r="O90" s="5"/>
      <c r="P90" s="448" t="s">
        <v>34</v>
      </c>
      <c r="Q90" s="449"/>
      <c r="R90" s="450">
        <v>380</v>
      </c>
      <c r="S90" s="451"/>
      <c r="T90" s="5"/>
      <c r="U90" s="463" t="s">
        <v>61</v>
      </c>
      <c r="V90" s="464"/>
      <c r="W90" s="465"/>
      <c r="X90" s="5"/>
      <c r="Y90" s="5"/>
      <c r="Z90" s="5"/>
      <c r="AA90" s="5"/>
      <c r="AB90" s="5"/>
      <c r="AC90" s="5"/>
      <c r="AD90" s="5"/>
      <c r="AE90" s="5"/>
      <c r="AF90" s="5"/>
      <c r="BK90" s="243"/>
      <c r="BL90" s="30"/>
      <c r="BM90" s="30"/>
      <c r="BN90" s="30"/>
      <c r="BO90" s="30"/>
      <c r="BP90" s="30"/>
      <c r="BQ90" s="30"/>
      <c r="BR90" s="30"/>
      <c r="BS90" s="30"/>
      <c r="BT90" s="30"/>
    </row>
    <row r="91" spans="2:99" ht="15" customHeight="1" x14ac:dyDescent="0.2">
      <c r="B91" s="5"/>
      <c r="C91" s="5"/>
      <c r="D91" s="5"/>
      <c r="E91" s="5"/>
      <c r="J91" s="5"/>
      <c r="K91" s="5"/>
      <c r="L91" s="5"/>
      <c r="M91" s="5"/>
      <c r="N91" s="5"/>
      <c r="O91" s="5"/>
      <c r="P91" s="448" t="s">
        <v>35</v>
      </c>
      <c r="Q91" s="449"/>
      <c r="R91" s="450">
        <v>420</v>
      </c>
      <c r="S91" s="451"/>
      <c r="T91" s="5"/>
      <c r="U91" s="466" t="s">
        <v>62</v>
      </c>
      <c r="V91" s="467"/>
      <c r="W91" s="468"/>
      <c r="X91" s="5"/>
      <c r="Y91" s="5" t="s">
        <v>291</v>
      </c>
      <c r="Z91" s="24" t="s">
        <v>635</v>
      </c>
      <c r="AA91" s="5"/>
      <c r="AB91" s="5"/>
      <c r="AC91" s="5"/>
      <c r="AD91" s="5"/>
      <c r="AE91" s="5"/>
      <c r="AF91" s="5"/>
      <c r="BK91" s="243"/>
      <c r="BL91" s="30"/>
      <c r="BM91" s="30"/>
      <c r="BN91" s="30"/>
      <c r="BO91" s="30"/>
      <c r="BP91" s="30"/>
      <c r="BQ91" s="30"/>
      <c r="BR91" s="30"/>
      <c r="BS91" s="30"/>
      <c r="BT91" s="30"/>
    </row>
    <row r="92" spans="2:99" ht="15" customHeight="1" x14ac:dyDescent="0.2">
      <c r="B92" s="5"/>
      <c r="C92" s="5"/>
      <c r="D92" s="5"/>
      <c r="E92" s="5"/>
      <c r="J92" s="5"/>
      <c r="K92" s="5"/>
      <c r="L92" s="5"/>
      <c r="M92" s="5"/>
      <c r="N92" s="5"/>
      <c r="O92" s="5"/>
      <c r="P92" s="448" t="s">
        <v>36</v>
      </c>
      <c r="Q92" s="449"/>
      <c r="R92" s="450">
        <v>460</v>
      </c>
      <c r="S92" s="451"/>
      <c r="T92" s="5"/>
      <c r="U92" s="37" t="s">
        <v>74</v>
      </c>
      <c r="V92" s="195" t="s">
        <v>75</v>
      </c>
      <c r="W92" s="37" t="s">
        <v>76</v>
      </c>
      <c r="X92" s="5"/>
      <c r="Y92" s="15" t="s">
        <v>636</v>
      </c>
      <c r="Z92" s="49" t="s">
        <v>637</v>
      </c>
      <c r="AA92" s="5"/>
      <c r="AB92" s="5"/>
      <c r="AC92" s="5"/>
      <c r="AD92" s="5"/>
      <c r="AE92" s="5"/>
      <c r="AF92" s="5"/>
      <c r="BK92" s="243"/>
      <c r="BL92" s="30"/>
      <c r="BM92" s="30"/>
      <c r="BN92" s="30"/>
      <c r="BO92" s="30"/>
      <c r="BP92" s="30"/>
      <c r="BQ92" s="30"/>
      <c r="BR92" s="30"/>
      <c r="BS92" s="30"/>
      <c r="BT92" s="30"/>
    </row>
    <row r="93" spans="2:99" ht="15" customHeight="1" x14ac:dyDescent="0.2">
      <c r="B93" s="5"/>
      <c r="C93" s="5"/>
      <c r="D93" s="5"/>
      <c r="E93" s="5"/>
      <c r="J93" s="5"/>
      <c r="K93" s="5"/>
      <c r="L93" s="5"/>
      <c r="M93" s="5"/>
      <c r="N93" s="5"/>
      <c r="O93" s="5"/>
      <c r="P93" s="448" t="s">
        <v>37</v>
      </c>
      <c r="Q93" s="449"/>
      <c r="R93" s="450">
        <v>475</v>
      </c>
      <c r="S93" s="451"/>
      <c r="T93" s="5"/>
      <c r="U93" s="16">
        <v>1</v>
      </c>
      <c r="V93" s="5">
        <v>0</v>
      </c>
      <c r="W93" s="16">
        <v>1</v>
      </c>
      <c r="X93" s="5"/>
      <c r="Y93" s="16" t="s">
        <v>389</v>
      </c>
      <c r="Z93" s="22" t="s">
        <v>638</v>
      </c>
      <c r="AA93" s="5"/>
      <c r="AB93" s="5"/>
      <c r="AC93" s="5"/>
      <c r="AD93" s="5"/>
      <c r="AE93" s="5"/>
      <c r="AF93" s="5"/>
      <c r="BK93" s="243"/>
      <c r="BL93" s="30"/>
      <c r="BM93" s="30"/>
      <c r="BN93" s="30"/>
      <c r="BO93" s="30"/>
      <c r="BP93" s="30"/>
      <c r="BQ93" s="30"/>
      <c r="BR93" s="30"/>
      <c r="BS93" s="30"/>
      <c r="BT93" s="30"/>
    </row>
    <row r="94" spans="2:99" ht="15" customHeight="1" x14ac:dyDescent="0.2">
      <c r="B94" s="5"/>
      <c r="C94" s="5"/>
      <c r="D94" s="5"/>
      <c r="E94" s="5"/>
      <c r="J94" s="5"/>
      <c r="K94" s="5"/>
      <c r="L94" s="5"/>
      <c r="M94" s="5"/>
      <c r="N94" s="5"/>
      <c r="O94" s="5"/>
      <c r="P94" s="448" t="s">
        <v>38</v>
      </c>
      <c r="Q94" s="449"/>
      <c r="R94" s="450">
        <v>490</v>
      </c>
      <c r="S94" s="451"/>
      <c r="T94" s="5"/>
      <c r="U94" s="16">
        <v>1.5</v>
      </c>
      <c r="V94" s="5">
        <v>1.1000000000000001</v>
      </c>
      <c r="W94" s="16">
        <v>1.5</v>
      </c>
      <c r="X94" s="5"/>
      <c r="Y94" s="16" t="s">
        <v>390</v>
      </c>
      <c r="Z94" s="22" t="s">
        <v>639</v>
      </c>
      <c r="AA94" s="5"/>
      <c r="AB94" s="5"/>
      <c r="AC94" s="5"/>
      <c r="AD94" s="5"/>
      <c r="AE94" s="5"/>
      <c r="AF94" s="5"/>
      <c r="BK94" s="243"/>
      <c r="BL94" s="30"/>
      <c r="BM94" s="30"/>
      <c r="BN94" s="30"/>
      <c r="BO94" s="30"/>
      <c r="BP94" s="30"/>
    </row>
    <row r="95" spans="2:99" ht="15" customHeight="1" x14ac:dyDescent="0.2">
      <c r="B95" s="5"/>
      <c r="C95" s="5"/>
      <c r="D95" s="5"/>
      <c r="E95" s="5"/>
      <c r="J95" s="5"/>
      <c r="K95" s="5"/>
      <c r="L95" s="5"/>
      <c r="M95" s="5"/>
      <c r="N95" s="5"/>
      <c r="O95" s="5"/>
      <c r="P95" s="448" t="s">
        <v>39</v>
      </c>
      <c r="Q95" s="449"/>
      <c r="R95" s="450">
        <v>520</v>
      </c>
      <c r="S95" s="451"/>
      <c r="T95" s="5"/>
      <c r="U95" s="16">
        <v>2</v>
      </c>
      <c r="V95" s="5">
        <v>1.6</v>
      </c>
      <c r="W95" s="16">
        <v>2</v>
      </c>
      <c r="X95" s="5"/>
      <c r="Y95" s="16" t="s">
        <v>388</v>
      </c>
      <c r="Z95" s="5" t="s">
        <v>94</v>
      </c>
      <c r="AA95" s="5"/>
      <c r="AB95" s="5"/>
      <c r="AC95" s="5"/>
      <c r="AD95" s="5"/>
      <c r="AE95" s="5"/>
      <c r="AF95" s="5"/>
      <c r="BK95" s="243"/>
      <c r="BL95" s="30"/>
      <c r="BM95" s="30"/>
      <c r="BN95" s="30"/>
      <c r="BO95" s="30"/>
      <c r="BP95" s="30"/>
    </row>
    <row r="96" spans="2:99" ht="15" customHeight="1" x14ac:dyDescent="0.2">
      <c r="B96" s="5"/>
      <c r="C96" s="5"/>
      <c r="D96" s="5"/>
      <c r="E96" s="5"/>
      <c r="J96" s="5"/>
      <c r="K96" s="5"/>
      <c r="L96" s="5"/>
      <c r="M96" s="5"/>
      <c r="N96" s="5"/>
      <c r="O96" s="5"/>
      <c r="P96" s="448" t="s">
        <v>40</v>
      </c>
      <c r="Q96" s="449"/>
      <c r="R96" s="450">
        <v>545</v>
      </c>
      <c r="S96" s="451"/>
      <c r="T96" s="5"/>
      <c r="U96" s="16">
        <v>3</v>
      </c>
      <c r="V96" s="5">
        <v>2.1</v>
      </c>
      <c r="W96" s="16">
        <v>3</v>
      </c>
      <c r="X96" s="5"/>
      <c r="Y96" s="16" t="s">
        <v>92</v>
      </c>
      <c r="Z96" s="5" t="s">
        <v>94</v>
      </c>
      <c r="AA96" s="5"/>
      <c r="AB96" s="5"/>
      <c r="AC96" s="5"/>
      <c r="AD96" s="5"/>
      <c r="AE96" s="5"/>
      <c r="AF96" s="5"/>
      <c r="BK96" s="243"/>
      <c r="BL96" s="30"/>
      <c r="BM96" s="30"/>
      <c r="BN96" s="30"/>
      <c r="BO96" s="30"/>
      <c r="BP96" s="30"/>
    </row>
    <row r="97" spans="2:68" ht="15" customHeight="1" x14ac:dyDescent="0.2">
      <c r="B97" s="5"/>
      <c r="C97" s="5"/>
      <c r="D97" s="5"/>
      <c r="E97" s="5"/>
      <c r="J97" s="5"/>
      <c r="K97" s="5"/>
      <c r="L97" s="5"/>
      <c r="M97" s="5"/>
      <c r="N97" s="5"/>
      <c r="O97" s="5"/>
      <c r="P97" s="448" t="s">
        <v>68</v>
      </c>
      <c r="Q97" s="449"/>
      <c r="R97" s="450">
        <v>590</v>
      </c>
      <c r="S97" s="451"/>
      <c r="T97" s="5"/>
      <c r="U97" s="16">
        <v>5</v>
      </c>
      <c r="V97" s="5">
        <v>3.1</v>
      </c>
      <c r="W97" s="16">
        <v>5</v>
      </c>
      <c r="X97" s="5"/>
      <c r="Y97" s="92" t="s">
        <v>640</v>
      </c>
      <c r="Z97" s="5" t="s">
        <v>94</v>
      </c>
      <c r="AA97" s="5"/>
      <c r="AB97" s="5"/>
      <c r="AC97" s="5"/>
      <c r="AD97" s="5"/>
      <c r="AE97" s="5"/>
      <c r="AF97" s="5"/>
      <c r="BK97" s="243"/>
      <c r="BL97" s="30"/>
      <c r="BP97" s="30"/>
    </row>
    <row r="98" spans="2:68" ht="15" customHeight="1" x14ac:dyDescent="0.2">
      <c r="B98" s="5"/>
      <c r="C98" s="5"/>
      <c r="D98" s="5"/>
      <c r="E98" s="5"/>
      <c r="J98" s="5"/>
      <c r="K98" s="5"/>
      <c r="L98" s="5"/>
      <c r="M98" s="5"/>
      <c r="N98" s="5"/>
      <c r="O98" s="5"/>
      <c r="P98" s="448" t="s">
        <v>69</v>
      </c>
      <c r="Q98" s="449"/>
      <c r="R98" s="450">
        <v>625</v>
      </c>
      <c r="S98" s="451"/>
      <c r="T98" s="5"/>
      <c r="U98" s="16">
        <v>7.5</v>
      </c>
      <c r="V98" s="5">
        <v>5.0999999999999996</v>
      </c>
      <c r="W98" s="16">
        <v>7.5</v>
      </c>
      <c r="X98" s="5"/>
      <c r="Y98" s="5"/>
      <c r="Z98" s="5"/>
      <c r="AA98" s="5"/>
      <c r="AB98" s="5"/>
      <c r="AC98" s="5"/>
      <c r="AD98" s="5"/>
      <c r="AE98" s="5"/>
      <c r="AF98" s="5"/>
      <c r="BK98" s="243"/>
      <c r="BL98" s="30"/>
      <c r="BP98" s="30"/>
    </row>
  </sheetData>
  <mergeCells count="249">
    <mergeCell ref="BM2:BW2"/>
    <mergeCell ref="BA2:BC2"/>
    <mergeCell ref="BG2:BH2"/>
    <mergeCell ref="B3:D3"/>
    <mergeCell ref="F3:I3"/>
    <mergeCell ref="K3:N3"/>
    <mergeCell ref="P3:S3"/>
    <mergeCell ref="U3:Y3"/>
    <mergeCell ref="AM2:AM3"/>
    <mergeCell ref="AA3:AC3"/>
    <mergeCell ref="AU1:AU2"/>
    <mergeCell ref="BQ4:BS4"/>
    <mergeCell ref="BU4:BW4"/>
    <mergeCell ref="B5:D5"/>
    <mergeCell ref="P5:S6"/>
    <mergeCell ref="U5:Y5"/>
    <mergeCell ref="AA5:AC6"/>
    <mergeCell ref="AE5:AF6"/>
    <mergeCell ref="BM5:BO5"/>
    <mergeCell ref="BQ5:BS5"/>
    <mergeCell ref="F4:I5"/>
    <mergeCell ref="K4:N5"/>
    <mergeCell ref="BC4:BC6"/>
    <mergeCell ref="BD4:BD6"/>
    <mergeCell ref="BE4:BE6"/>
    <mergeCell ref="BM4:BO4"/>
    <mergeCell ref="BU5:BW5"/>
    <mergeCell ref="F6:G6"/>
    <mergeCell ref="K6:L6"/>
    <mergeCell ref="U6:U7"/>
    <mergeCell ref="V6:X6"/>
    <mergeCell ref="Y6:Y7"/>
    <mergeCell ref="BQ7:BS7"/>
    <mergeCell ref="BU7:BW7"/>
    <mergeCell ref="P7:Q7"/>
    <mergeCell ref="BM7:BO7"/>
    <mergeCell ref="F10:G10"/>
    <mergeCell ref="K10:L10"/>
    <mergeCell ref="P10:Q10"/>
    <mergeCell ref="F9:G9"/>
    <mergeCell ref="K9:L9"/>
    <mergeCell ref="P9:Q9"/>
    <mergeCell ref="BM9:BM10"/>
    <mergeCell ref="BN9:BN10"/>
    <mergeCell ref="BO9:BO10"/>
    <mergeCell ref="F7:G7"/>
    <mergeCell ref="K7:L7"/>
    <mergeCell ref="K11:L11"/>
    <mergeCell ref="P11:Q11"/>
    <mergeCell ref="F8:G8"/>
    <mergeCell ref="K8:L8"/>
    <mergeCell ref="P8:Q8"/>
    <mergeCell ref="AE7:AF10"/>
    <mergeCell ref="BC7:BC9"/>
    <mergeCell ref="BD7:BD9"/>
    <mergeCell ref="BE7:BE9"/>
    <mergeCell ref="F15:G15"/>
    <mergeCell ref="K15:L15"/>
    <mergeCell ref="BQ15:BS15"/>
    <mergeCell ref="BU15:BW15"/>
    <mergeCell ref="F16:G16"/>
    <mergeCell ref="K16:L16"/>
    <mergeCell ref="P16:S17"/>
    <mergeCell ref="F17:G17"/>
    <mergeCell ref="K17:L17"/>
    <mergeCell ref="BM17:BO17"/>
    <mergeCell ref="AE11:AF19"/>
    <mergeCell ref="F14:G14"/>
    <mergeCell ref="K14:L14"/>
    <mergeCell ref="P14:Q14"/>
    <mergeCell ref="K18:L18"/>
    <mergeCell ref="F19:G19"/>
    <mergeCell ref="F18:G18"/>
    <mergeCell ref="F13:G13"/>
    <mergeCell ref="K13:L13"/>
    <mergeCell ref="P13:Q13"/>
    <mergeCell ref="F12:G12"/>
    <mergeCell ref="K12:L12"/>
    <mergeCell ref="P12:Q12"/>
    <mergeCell ref="F11:G11"/>
    <mergeCell ref="K21:L21"/>
    <mergeCell ref="AE21:AF21"/>
    <mergeCell ref="BN21:BO21"/>
    <mergeCell ref="F23:G23"/>
    <mergeCell ref="K23:L23"/>
    <mergeCell ref="F20:G20"/>
    <mergeCell ref="K20:L20"/>
    <mergeCell ref="BM20:BO20"/>
    <mergeCell ref="K19:L19"/>
    <mergeCell ref="BV21:BW21"/>
    <mergeCell ref="F28:G28"/>
    <mergeCell ref="K28:L28"/>
    <mergeCell ref="P28:Q28"/>
    <mergeCell ref="R28:S28"/>
    <mergeCell ref="F27:G27"/>
    <mergeCell ref="F26:G26"/>
    <mergeCell ref="K26:L26"/>
    <mergeCell ref="P26:Q26"/>
    <mergeCell ref="R26:S26"/>
    <mergeCell ref="BR21:BS21"/>
    <mergeCell ref="F24:G24"/>
    <mergeCell ref="K24:L24"/>
    <mergeCell ref="P24:S25"/>
    <mergeCell ref="F25:G25"/>
    <mergeCell ref="K25:L25"/>
    <mergeCell ref="K27:L27"/>
    <mergeCell ref="P27:Q27"/>
    <mergeCell ref="R27:S27"/>
    <mergeCell ref="F22:G22"/>
    <mergeCell ref="K22:L22"/>
    <mergeCell ref="P22:S22"/>
    <mergeCell ref="BN22:BO22"/>
    <mergeCell ref="F21:G21"/>
    <mergeCell ref="F32:G32"/>
    <mergeCell ref="K32:L32"/>
    <mergeCell ref="P32:Q32"/>
    <mergeCell ref="R32:S32"/>
    <mergeCell ref="F31:G31"/>
    <mergeCell ref="K31:L31"/>
    <mergeCell ref="P31:Q31"/>
    <mergeCell ref="R31:S31"/>
    <mergeCell ref="F29:G29"/>
    <mergeCell ref="K29:L29"/>
    <mergeCell ref="P29:Q29"/>
    <mergeCell ref="R29:S29"/>
    <mergeCell ref="F30:G30"/>
    <mergeCell ref="K30:L30"/>
    <mergeCell ref="P30:Q30"/>
    <mergeCell ref="R30:S30"/>
    <mergeCell ref="P36:Q36"/>
    <mergeCell ref="R36:S36"/>
    <mergeCell ref="P35:Q35"/>
    <mergeCell ref="R35:S35"/>
    <mergeCell ref="F34:G34"/>
    <mergeCell ref="K34:L34"/>
    <mergeCell ref="P34:Q34"/>
    <mergeCell ref="R34:S34"/>
    <mergeCell ref="F33:G33"/>
    <mergeCell ref="K33:L33"/>
    <mergeCell ref="P33:Q33"/>
    <mergeCell ref="R33:S33"/>
    <mergeCell ref="P41:Q41"/>
    <mergeCell ref="R41:S41"/>
    <mergeCell ref="P40:Q40"/>
    <mergeCell ref="R40:S40"/>
    <mergeCell ref="P39:Q39"/>
    <mergeCell ref="R39:S39"/>
    <mergeCell ref="P38:Q38"/>
    <mergeCell ref="R38:S38"/>
    <mergeCell ref="P37:Q37"/>
    <mergeCell ref="R37:S37"/>
    <mergeCell ref="P46:Q46"/>
    <mergeCell ref="R46:S46"/>
    <mergeCell ref="P44:Q44"/>
    <mergeCell ref="R44:S44"/>
    <mergeCell ref="P45:Q45"/>
    <mergeCell ref="R45:S45"/>
    <mergeCell ref="P43:Q43"/>
    <mergeCell ref="R43:S43"/>
    <mergeCell ref="P42:Q42"/>
    <mergeCell ref="R42:S42"/>
    <mergeCell ref="P52:S52"/>
    <mergeCell ref="P54:S55"/>
    <mergeCell ref="P50:Q50"/>
    <mergeCell ref="R50:S50"/>
    <mergeCell ref="P49:Q49"/>
    <mergeCell ref="R49:S49"/>
    <mergeCell ref="P48:Q48"/>
    <mergeCell ref="R48:S48"/>
    <mergeCell ref="P47:Q47"/>
    <mergeCell ref="R47:S47"/>
    <mergeCell ref="P68:S69"/>
    <mergeCell ref="P66:Q66"/>
    <mergeCell ref="P62:Q62"/>
    <mergeCell ref="P63:Q63"/>
    <mergeCell ref="P64:Q64"/>
    <mergeCell ref="P65:Q65"/>
    <mergeCell ref="P56:Q56"/>
    <mergeCell ref="P57:Q57"/>
    <mergeCell ref="P58:Q58"/>
    <mergeCell ref="P59:Q59"/>
    <mergeCell ref="P60:Q60"/>
    <mergeCell ref="P61:Q61"/>
    <mergeCell ref="P74:Q74"/>
    <mergeCell ref="R74:S74"/>
    <mergeCell ref="P73:Q73"/>
    <mergeCell ref="R73:S73"/>
    <mergeCell ref="P72:Q72"/>
    <mergeCell ref="R72:S72"/>
    <mergeCell ref="P71:Q71"/>
    <mergeCell ref="R71:S71"/>
    <mergeCell ref="P70:Q70"/>
    <mergeCell ref="R70:S70"/>
    <mergeCell ref="P78:Q78"/>
    <mergeCell ref="R78:S78"/>
    <mergeCell ref="P79:Q79"/>
    <mergeCell ref="R79:S79"/>
    <mergeCell ref="P80:Q80"/>
    <mergeCell ref="R80:S80"/>
    <mergeCell ref="P75:Q75"/>
    <mergeCell ref="R75:S75"/>
    <mergeCell ref="P76:Q76"/>
    <mergeCell ref="R76:S76"/>
    <mergeCell ref="P77:Q77"/>
    <mergeCell ref="R77:S77"/>
    <mergeCell ref="P85:Q85"/>
    <mergeCell ref="R85:S85"/>
    <mergeCell ref="P84:Q84"/>
    <mergeCell ref="R84:S84"/>
    <mergeCell ref="P81:Q81"/>
    <mergeCell ref="R81:S81"/>
    <mergeCell ref="P82:Q82"/>
    <mergeCell ref="R82:S82"/>
    <mergeCell ref="P83:Q83"/>
    <mergeCell ref="R83:S83"/>
    <mergeCell ref="R90:S90"/>
    <mergeCell ref="U90:W90"/>
    <mergeCell ref="P89:Q89"/>
    <mergeCell ref="R89:S89"/>
    <mergeCell ref="P88:Q88"/>
    <mergeCell ref="R88:S88"/>
    <mergeCell ref="P87:Q87"/>
    <mergeCell ref="R87:S87"/>
    <mergeCell ref="P86:Q86"/>
    <mergeCell ref="R86:S86"/>
    <mergeCell ref="AA49:AC50"/>
    <mergeCell ref="AL4:AL6"/>
    <mergeCell ref="AL7:AL9"/>
    <mergeCell ref="AX2:AZ2"/>
    <mergeCell ref="AZ4:AZ6"/>
    <mergeCell ref="AZ7:AZ9"/>
    <mergeCell ref="P98:Q98"/>
    <mergeCell ref="R98:S98"/>
    <mergeCell ref="P95:Q95"/>
    <mergeCell ref="R95:S95"/>
    <mergeCell ref="P96:Q96"/>
    <mergeCell ref="R96:S96"/>
    <mergeCell ref="P97:Q97"/>
    <mergeCell ref="R97:S97"/>
    <mergeCell ref="P92:Q92"/>
    <mergeCell ref="R92:S92"/>
    <mergeCell ref="P93:Q93"/>
    <mergeCell ref="R93:S93"/>
    <mergeCell ref="P94:Q94"/>
    <mergeCell ref="R94:S94"/>
    <mergeCell ref="P91:Q91"/>
    <mergeCell ref="R91:S91"/>
    <mergeCell ref="U91:W91"/>
    <mergeCell ref="P90:Q90"/>
  </mergeCells>
  <conditionalFormatting sqref="AU6:AU14">
    <cfRule type="expression" dxfId="33" priority="3">
      <formula>AT6="yes"</formula>
    </cfRule>
  </conditionalFormatting>
  <conditionalFormatting sqref="AU4:AU5">
    <cfRule type="expression" dxfId="32" priority="1">
      <formula>AT4="yes"</formula>
    </cfRule>
  </conditionalFormatting>
  <dataValidations count="5">
    <dataValidation type="list" allowBlank="1" showInputMessage="1" showErrorMessage="1" sqref="AP4:AP14" xr:uid="{28FB30EA-EB07-4F81-A56C-FE8228C3F1D4}">
      <formula1>$Y$112:$Y$115</formula1>
    </dataValidation>
    <dataValidation type="list" allowBlank="1" showInputMessage="1" showErrorMessage="1" sqref="AO4:AO14" xr:uid="{1B62AB99-F17B-4828-A1EE-EF4EA16B5813}">
      <formula1>$Y$111:$Y$114</formula1>
    </dataValidation>
    <dataValidation type="list" allowBlank="1" showInputMessage="1" showErrorMessage="1" sqref="AF3" xr:uid="{B57E8D26-738C-46DD-994E-C106AAE4590F}">
      <formula1>$Y$92:$Y$97</formula1>
    </dataValidation>
    <dataValidation type="list" allowBlank="1" showInputMessage="1" showErrorMessage="1" sqref="AN4:AN14" xr:uid="{395A1FBE-47E9-4723-BC5C-5CA54E679EDB}">
      <formula1>$Z$88:$Z$89</formula1>
    </dataValidation>
    <dataValidation type="list" allowBlank="1" showInputMessage="1" showErrorMessage="1" sqref="AT4:AT14" xr:uid="{3C2F4E62-A63E-4974-A13B-43F7A27242CE}">
      <formula1>$Z$85:$Z$86</formula1>
    </dataValidation>
  </dataValidation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A2DB5C-E104-4083-809C-805F05CC1723}">
  <sheetPr codeName="Sheet9">
    <tabColor rgb="FFFF0000"/>
  </sheetPr>
  <dimension ref="A2:AM59"/>
  <sheetViews>
    <sheetView topLeftCell="T1" zoomScale="80" zoomScaleNormal="80" workbookViewId="0">
      <selection activeCell="T1" sqref="T1"/>
    </sheetView>
  </sheetViews>
  <sheetFormatPr defaultRowHeight="15" x14ac:dyDescent="0.25"/>
  <cols>
    <col min="1" max="1" width="9.140625" hidden="1" customWidth="1"/>
    <col min="2" max="2" width="17.28515625" hidden="1" customWidth="1"/>
    <col min="3" max="4" width="14.140625" hidden="1" customWidth="1"/>
    <col min="5" max="5" width="9.140625" hidden="1" customWidth="1"/>
    <col min="6" max="6" width="10" hidden="1" customWidth="1"/>
    <col min="7" max="7" width="7.85546875" hidden="1" customWidth="1"/>
    <col min="8" max="8" width="16.85546875" hidden="1" customWidth="1"/>
    <col min="9" max="9" width="14.5703125" hidden="1" customWidth="1"/>
    <col min="10" max="10" width="10.85546875" hidden="1" customWidth="1"/>
    <col min="11" max="11" width="9.140625" hidden="1" customWidth="1"/>
    <col min="12" max="12" width="12" hidden="1" customWidth="1"/>
    <col min="13" max="13" width="11.140625" hidden="1" customWidth="1"/>
    <col min="14" max="14" width="9.140625" hidden="1" customWidth="1"/>
    <col min="15" max="15" width="19.5703125" hidden="1" customWidth="1"/>
    <col min="16" max="16" width="19.28515625" hidden="1" customWidth="1"/>
    <col min="17" max="17" width="9.140625" hidden="1" customWidth="1"/>
    <col min="18" max="18" width="11.140625" hidden="1" customWidth="1"/>
    <col min="19" max="19" width="10" hidden="1" customWidth="1"/>
    <col min="21" max="21" width="33.140625" bestFit="1" customWidth="1"/>
    <col min="25" max="25" width="10.140625" bestFit="1" customWidth="1"/>
    <col min="26" max="26" width="7.5703125" customWidth="1"/>
    <col min="27" max="27" width="10" bestFit="1" customWidth="1"/>
    <col min="28" max="28" width="8.5703125" customWidth="1"/>
    <col min="29" max="29" width="31.28515625" customWidth="1"/>
    <col min="30" max="30" width="18.42578125" customWidth="1"/>
    <col min="31" max="31" width="42.7109375" customWidth="1"/>
    <col min="32" max="32" width="35.85546875" customWidth="1"/>
    <col min="33" max="33" width="28.85546875" customWidth="1"/>
    <col min="34" max="34" width="10.5703125" bestFit="1" customWidth="1"/>
    <col min="35" max="35" width="16.28515625" bestFit="1" customWidth="1"/>
    <col min="36" max="36" width="17.85546875" bestFit="1" customWidth="1"/>
    <col min="37" max="37" width="16.5703125" bestFit="1" customWidth="1"/>
  </cols>
  <sheetData>
    <row r="2" spans="2:39" ht="15" customHeight="1" x14ac:dyDescent="0.25">
      <c r="AC2" s="310" t="s">
        <v>520</v>
      </c>
    </row>
    <row r="3" spans="2:39" x14ac:dyDescent="0.25">
      <c r="B3" s="554" t="s">
        <v>523</v>
      </c>
      <c r="C3" s="554"/>
      <c r="D3" s="554"/>
      <c r="F3" s="138"/>
      <c r="G3" s="138"/>
      <c r="H3" s="554" t="s">
        <v>509</v>
      </c>
      <c r="I3" s="554"/>
      <c r="J3" s="554"/>
      <c r="L3" s="561" t="s">
        <v>493</v>
      </c>
      <c r="M3" s="562"/>
      <c r="N3" s="114"/>
      <c r="O3" s="343" t="s">
        <v>494</v>
      </c>
      <c r="P3" s="345"/>
      <c r="Q3" s="114"/>
      <c r="R3" s="343" t="s">
        <v>495</v>
      </c>
      <c r="S3" s="345"/>
      <c r="U3" s="563" t="s">
        <v>562</v>
      </c>
      <c r="V3" s="564"/>
      <c r="X3" s="135"/>
      <c r="Y3" s="146" t="s">
        <v>11</v>
      </c>
      <c r="Z3" s="136" t="s">
        <v>497</v>
      </c>
      <c r="AA3" s="137" t="s">
        <v>498</v>
      </c>
      <c r="AB3" s="146" t="s">
        <v>499</v>
      </c>
      <c r="AC3" s="136" t="s">
        <v>521</v>
      </c>
      <c r="AD3" s="137" t="s">
        <v>501</v>
      </c>
      <c r="AE3" s="142" t="s">
        <v>502</v>
      </c>
      <c r="AF3" s="136" t="s">
        <v>494</v>
      </c>
      <c r="AG3" s="137" t="s">
        <v>503</v>
      </c>
      <c r="AH3" s="136" t="s">
        <v>504</v>
      </c>
      <c r="AI3" s="136" t="s">
        <v>505</v>
      </c>
      <c r="AJ3" s="137" t="s">
        <v>506</v>
      </c>
      <c r="AK3" s="136" t="s">
        <v>507</v>
      </c>
      <c r="AL3" s="545" t="s">
        <v>508</v>
      </c>
      <c r="AM3" s="546"/>
    </row>
    <row r="4" spans="2:39" x14ac:dyDescent="0.25">
      <c r="B4" s="136" t="s">
        <v>500</v>
      </c>
      <c r="C4" s="555" t="s">
        <v>524</v>
      </c>
      <c r="D4" s="555"/>
      <c r="F4" s="142" t="s">
        <v>18</v>
      </c>
      <c r="G4" s="162" t="s">
        <v>513</v>
      </c>
      <c r="H4" s="142" t="s">
        <v>514</v>
      </c>
      <c r="I4" s="142" t="s">
        <v>512</v>
      </c>
      <c r="J4" s="163" t="s">
        <v>515</v>
      </c>
      <c r="L4" s="556">
        <v>75</v>
      </c>
      <c r="M4" s="557"/>
      <c r="N4" s="114"/>
      <c r="O4" s="139" t="s">
        <v>510</v>
      </c>
      <c r="P4" s="140">
        <v>3.2299999999999998E-3</v>
      </c>
      <c r="Q4" s="114"/>
      <c r="R4" s="136" t="s">
        <v>497</v>
      </c>
      <c r="S4" s="141" t="s">
        <v>498</v>
      </c>
      <c r="U4" s="234" t="s">
        <v>561</v>
      </c>
      <c r="V4" s="80">
        <f>MAX('2 Inv Output'!H9:M9)*LEFT('2 Inv Output'!H16,LEN('2 Inv Output'!H16)-1)</f>
        <v>300</v>
      </c>
      <c r="X4" s="558" t="s">
        <v>518</v>
      </c>
      <c r="Y4" s="115">
        <v>1</v>
      </c>
      <c r="Z4" s="80">
        <v>1</v>
      </c>
      <c r="AA4" s="143">
        <f t="shared" ref="AA4:AA10" si="0">VLOOKUP(Z4,$R$5:$S$6,2,FALSE)</f>
        <v>2</v>
      </c>
      <c r="AB4" s="235">
        <f>$V$5</f>
        <v>0.78947368421052633</v>
      </c>
      <c r="AC4" s="209"/>
      <c r="AD4" s="79" t="s">
        <v>512</v>
      </c>
      <c r="AE4" s="80" t="e">
        <f t="shared" ref="AE4:AE10" si="1">IF(AD4="Copper-Coated",VLOOKUP(AC4,$F$5:$J$32,4,FALSE),IF(AD4="Copper-Uncoated",VLOOKUP(AC4,$F$5:$J$32,3,FALSE),VLOOKUP(AC4,$F$5:$J$32,5,FALSE)))</f>
        <v>#N/A</v>
      </c>
      <c r="AF4" s="215">
        <f>IF(AD4="Aluminum",VLOOKUP(AD4,$O$4:$P$5,2,FALSE),VLOOKUP("Copper",$O$4:$P$5,2,TRUE))</f>
        <v>3.2299999999999998E-3</v>
      </c>
      <c r="AG4" s="79">
        <f>1+AF4*($L$4-75)</f>
        <v>1</v>
      </c>
      <c r="AH4" s="209"/>
      <c r="AI4" s="144" t="e">
        <f t="shared" ref="AI4:AI10" si="2">(AA4*AB4*AH4*AE4*AG4)/1000</f>
        <v>#N/A</v>
      </c>
      <c r="AJ4" s="80">
        <f>V9</f>
        <v>380</v>
      </c>
      <c r="AK4" s="145" t="e">
        <f>AI4/AJ4</f>
        <v>#N/A</v>
      </c>
      <c r="AL4" s="547" t="e">
        <f>SUM(AK4:AK7)</f>
        <v>#N/A</v>
      </c>
      <c r="AM4" s="547" t="e">
        <f>SUM(AL4:AL19)</f>
        <v>#N/A</v>
      </c>
    </row>
    <row r="5" spans="2:39" x14ac:dyDescent="0.25">
      <c r="B5" s="80">
        <v>18</v>
      </c>
      <c r="C5" s="79">
        <v>0</v>
      </c>
      <c r="D5" s="80">
        <v>1620</v>
      </c>
      <c r="F5" s="80">
        <v>18</v>
      </c>
      <c r="G5" s="79">
        <v>7</v>
      </c>
      <c r="H5" s="80">
        <v>7.95</v>
      </c>
      <c r="I5" s="79">
        <v>8.4499999999999993</v>
      </c>
      <c r="J5" s="80">
        <v>13.1</v>
      </c>
      <c r="N5" s="114"/>
      <c r="O5" s="147" t="s">
        <v>516</v>
      </c>
      <c r="P5" s="148">
        <v>3.3E-3</v>
      </c>
      <c r="Q5" s="114"/>
      <c r="R5" s="140">
        <v>1</v>
      </c>
      <c r="S5" s="140">
        <v>2</v>
      </c>
      <c r="U5" s="219" t="s">
        <v>563</v>
      </c>
      <c r="V5" s="157">
        <f>V4/MIN(V9,V13)</f>
        <v>0.78947368421052633</v>
      </c>
      <c r="X5" s="559"/>
      <c r="Y5" s="116">
        <v>2</v>
      </c>
      <c r="Z5" s="75">
        <v>1</v>
      </c>
      <c r="AA5" s="149">
        <f t="shared" si="0"/>
        <v>2</v>
      </c>
      <c r="AB5" s="236">
        <f>$V$5</f>
        <v>0.78947368421052633</v>
      </c>
      <c r="AC5" s="210"/>
      <c r="AD5" s="74" t="s">
        <v>512</v>
      </c>
      <c r="AE5" s="75" t="e">
        <f t="shared" si="1"/>
        <v>#N/A</v>
      </c>
      <c r="AF5" s="286">
        <f>IF(AD5="Aluminum",VLOOKUP(AD5,$O$4:$P$5,2,FALSE),VLOOKUP("Copper",$O$4:$P$5,2,TRUE))</f>
        <v>3.2299999999999998E-3</v>
      </c>
      <c r="AG5" s="75">
        <f>1+AF5*($L$4-75)</f>
        <v>1</v>
      </c>
      <c r="AH5" s="210"/>
      <c r="AI5" s="150" t="e">
        <f t="shared" si="2"/>
        <v>#N/A</v>
      </c>
      <c r="AJ5" s="75">
        <f>V13</f>
        <v>380</v>
      </c>
      <c r="AK5" s="151" t="e">
        <f>AI5/AJ5</f>
        <v>#N/A</v>
      </c>
      <c r="AL5" s="548"/>
      <c r="AM5" s="548"/>
    </row>
    <row r="6" spans="2:39" x14ac:dyDescent="0.25">
      <c r="B6" s="75">
        <v>16</v>
      </c>
      <c r="C6" s="74">
        <f t="shared" ref="C6:C34" si="3">D5+0.001</f>
        <v>1620.001</v>
      </c>
      <c r="D6" s="75">
        <v>2580</v>
      </c>
      <c r="F6" s="75">
        <v>16</v>
      </c>
      <c r="G6" s="74">
        <v>7</v>
      </c>
      <c r="H6" s="75">
        <v>4.99</v>
      </c>
      <c r="I6" s="74">
        <v>5.29</v>
      </c>
      <c r="J6" s="75">
        <v>8.2100000000000009</v>
      </c>
      <c r="L6" s="71"/>
      <c r="M6" s="71"/>
      <c r="R6" s="152">
        <v>3</v>
      </c>
      <c r="S6" s="153">
        <f>SQRT(3)</f>
        <v>1.7320508075688772</v>
      </c>
      <c r="U6" s="563" t="s">
        <v>653</v>
      </c>
      <c r="V6" s="564"/>
      <c r="X6" s="559"/>
      <c r="Y6" s="75">
        <v>3</v>
      </c>
      <c r="Z6" s="75">
        <v>1</v>
      </c>
      <c r="AA6" s="149">
        <f t="shared" si="0"/>
        <v>2</v>
      </c>
      <c r="AB6" s="236">
        <f>$V$5</f>
        <v>0.78947368421052633</v>
      </c>
      <c r="AC6" s="210"/>
      <c r="AD6" s="77" t="s">
        <v>512</v>
      </c>
      <c r="AE6" s="75" t="e">
        <f t="shared" si="1"/>
        <v>#N/A</v>
      </c>
      <c r="AF6" s="216">
        <f>IF(AD6="Aluminum",VLOOKUP(AD6,$O$4:$P$5,2,FALSE),VLOOKUP("Copper",$O$4:$P$5,2,TRUE))</f>
        <v>3.2299999999999998E-3</v>
      </c>
      <c r="AG6" s="74">
        <f>1+AF6*($L$4-75)</f>
        <v>1</v>
      </c>
      <c r="AH6" s="210"/>
      <c r="AI6" s="150" t="e">
        <f t="shared" si="2"/>
        <v>#N/A</v>
      </c>
      <c r="AJ6" s="75">
        <f>V9</f>
        <v>380</v>
      </c>
      <c r="AK6" s="151" t="e">
        <f>AI6/AJ6</f>
        <v>#N/A</v>
      </c>
      <c r="AL6" s="548"/>
      <c r="AM6" s="548"/>
    </row>
    <row r="7" spans="2:39" x14ac:dyDescent="0.25">
      <c r="B7" s="75">
        <v>14</v>
      </c>
      <c r="C7" s="74">
        <f t="shared" si="3"/>
        <v>2580.0010000000002</v>
      </c>
      <c r="D7" s="75">
        <v>4110</v>
      </c>
      <c r="F7" s="75">
        <v>14</v>
      </c>
      <c r="G7" s="74">
        <v>7</v>
      </c>
      <c r="H7" s="75">
        <v>3.14</v>
      </c>
      <c r="I7" s="74">
        <v>3.26</v>
      </c>
      <c r="J7" s="75">
        <v>5.17</v>
      </c>
      <c r="L7" s="71"/>
      <c r="M7" s="71"/>
      <c r="R7" s="114"/>
      <c r="S7" s="155"/>
      <c r="U7" s="212" t="s">
        <v>519</v>
      </c>
      <c r="V7" s="80">
        <f>'2 Inv Calcs'!BR18</f>
        <v>240</v>
      </c>
      <c r="X7" s="560"/>
      <c r="Y7" s="226">
        <v>4</v>
      </c>
      <c r="Z7" s="82">
        <v>1</v>
      </c>
      <c r="AA7" s="156">
        <f t="shared" si="0"/>
        <v>2</v>
      </c>
      <c r="AB7" s="287">
        <f>$V$5</f>
        <v>0.78947368421052633</v>
      </c>
      <c r="AC7" s="211"/>
      <c r="AD7" s="81" t="s">
        <v>512</v>
      </c>
      <c r="AE7" s="82" t="e">
        <f t="shared" si="1"/>
        <v>#N/A</v>
      </c>
      <c r="AF7" s="217">
        <f>IF(AD7="Aluminum",VLOOKUP(AD7,$O$4:$P$5,2,FALSE),VLOOKUP("Copper",$O$4:$P$5,2,TRUE))</f>
        <v>3.2299999999999998E-3</v>
      </c>
      <c r="AG7" s="82">
        <f>1+AF7*($L$4-75)</f>
        <v>1</v>
      </c>
      <c r="AH7" s="211"/>
      <c r="AI7" s="157" t="e">
        <f t="shared" si="2"/>
        <v>#N/A</v>
      </c>
      <c r="AJ7" s="82">
        <f>V13</f>
        <v>380</v>
      </c>
      <c r="AK7" s="158" t="e">
        <f>AI7/AJ7</f>
        <v>#N/A</v>
      </c>
      <c r="AL7" s="549"/>
      <c r="AM7" s="548"/>
    </row>
    <row r="8" spans="2:39" x14ac:dyDescent="0.25">
      <c r="B8" s="75">
        <v>12</v>
      </c>
      <c r="C8" s="74">
        <f t="shared" si="3"/>
        <v>4110.0010000000002</v>
      </c>
      <c r="D8" s="75">
        <v>6530</v>
      </c>
      <c r="F8" s="75">
        <v>12</v>
      </c>
      <c r="G8" s="74">
        <v>7</v>
      </c>
      <c r="H8" s="75">
        <v>1.98</v>
      </c>
      <c r="I8" s="74">
        <v>2.0499999999999998</v>
      </c>
      <c r="J8" s="75">
        <v>3.25</v>
      </c>
      <c r="L8" s="71"/>
      <c r="M8" s="71"/>
      <c r="R8" s="114"/>
      <c r="S8" s="155"/>
      <c r="U8" s="213" t="s">
        <v>517</v>
      </c>
      <c r="V8" s="75">
        <f>'2 Inv Calcs'!BY8</f>
        <v>12.5</v>
      </c>
      <c r="X8" s="558" t="s">
        <v>511</v>
      </c>
      <c r="Y8" s="116">
        <v>5</v>
      </c>
      <c r="Z8" s="75">
        <v>1</v>
      </c>
      <c r="AA8" s="154">
        <f t="shared" si="0"/>
        <v>2</v>
      </c>
      <c r="AB8" s="116">
        <f>V8</f>
        <v>12.5</v>
      </c>
      <c r="AC8" s="210"/>
      <c r="AD8" s="74" t="s">
        <v>512</v>
      </c>
      <c r="AE8" s="75" t="e">
        <f t="shared" si="1"/>
        <v>#N/A</v>
      </c>
      <c r="AF8" s="216">
        <f>IF(AD8="Aluminum",VLOOKUP(AD8,$O$4:$P$5,2,FALSE),VLOOKUP("Copper",$O$4:$P$5,2,TRUE))</f>
        <v>3.2299999999999998E-3</v>
      </c>
      <c r="AG8" s="75">
        <f>1+AF8*($L$4-75)</f>
        <v>1</v>
      </c>
      <c r="AH8" s="210"/>
      <c r="AI8" s="150" t="e">
        <f t="shared" si="2"/>
        <v>#N/A</v>
      </c>
      <c r="AJ8" s="74">
        <f>V7</f>
        <v>240</v>
      </c>
      <c r="AK8" s="151" t="e">
        <f>AI8/AJ8</f>
        <v>#N/A</v>
      </c>
      <c r="AL8" s="547" t="e">
        <f>SUM(AK8:AK11)</f>
        <v>#N/A</v>
      </c>
      <c r="AM8" s="548"/>
    </row>
    <row r="9" spans="2:39" x14ac:dyDescent="0.25">
      <c r="B9" s="75">
        <v>10</v>
      </c>
      <c r="C9" s="74">
        <f t="shared" si="3"/>
        <v>6530.0010000000002</v>
      </c>
      <c r="D9" s="75">
        <v>10380</v>
      </c>
      <c r="F9" s="75">
        <v>10</v>
      </c>
      <c r="G9" s="74">
        <v>7</v>
      </c>
      <c r="H9" s="75">
        <v>1.24</v>
      </c>
      <c r="I9" s="74">
        <v>1.29</v>
      </c>
      <c r="J9" s="75">
        <v>2.04</v>
      </c>
      <c r="K9" s="114"/>
      <c r="L9" s="114"/>
      <c r="M9" s="114"/>
      <c r="U9" s="214" t="s">
        <v>560</v>
      </c>
      <c r="V9" s="82">
        <f>'2 Inv Calcs'!BR10</f>
        <v>380</v>
      </c>
      <c r="X9" s="559"/>
      <c r="Y9" s="116">
        <v>6</v>
      </c>
      <c r="Z9" s="75">
        <v>1</v>
      </c>
      <c r="AA9" s="154">
        <f t="shared" si="0"/>
        <v>2</v>
      </c>
      <c r="AB9" s="116">
        <f>V12</f>
        <v>12.5</v>
      </c>
      <c r="AC9" s="210"/>
      <c r="AD9" s="74" t="s">
        <v>512</v>
      </c>
      <c r="AE9" s="75" t="e">
        <f t="shared" si="1"/>
        <v>#N/A</v>
      </c>
      <c r="AF9" s="216">
        <f t="shared" ref="AF9:AF10" si="4">IF(AD9="Aluminum",VLOOKUP(AD9,$O$4:$P$5,2,FALSE),VLOOKUP("Copper",$O$4:$P$5,2,TRUE))</f>
        <v>3.2299999999999998E-3</v>
      </c>
      <c r="AG9" s="75">
        <f t="shared" ref="AG9:AG10" si="5">1+AF9*($L$4-75)</f>
        <v>1</v>
      </c>
      <c r="AH9" s="210"/>
      <c r="AI9" s="150" t="e">
        <f t="shared" si="2"/>
        <v>#N/A</v>
      </c>
      <c r="AJ9" s="74">
        <f>V11</f>
        <v>240</v>
      </c>
      <c r="AK9" s="151" t="e">
        <f t="shared" ref="AK9:AK10" si="6">AI9/AJ9</f>
        <v>#N/A</v>
      </c>
      <c r="AL9" s="548"/>
      <c r="AM9" s="548"/>
    </row>
    <row r="10" spans="2:39" x14ac:dyDescent="0.25">
      <c r="B10" s="75">
        <v>8</v>
      </c>
      <c r="C10" s="74">
        <f t="shared" si="3"/>
        <v>10380.001</v>
      </c>
      <c r="D10" s="75">
        <v>16510</v>
      </c>
      <c r="F10" s="75">
        <v>8</v>
      </c>
      <c r="G10" s="74">
        <v>7</v>
      </c>
      <c r="H10" s="75">
        <v>0.77800000000000002</v>
      </c>
      <c r="I10" s="74">
        <v>0.80900000000000005</v>
      </c>
      <c r="J10" s="75">
        <v>1.28</v>
      </c>
      <c r="K10" s="114"/>
      <c r="L10" s="114"/>
      <c r="M10" s="114"/>
      <c r="U10" s="563" t="s">
        <v>654</v>
      </c>
      <c r="V10" s="564"/>
      <c r="X10" s="559"/>
      <c r="Y10" s="285" t="s">
        <v>652</v>
      </c>
      <c r="Z10" s="75">
        <v>1</v>
      </c>
      <c r="AA10" s="154">
        <f t="shared" si="0"/>
        <v>2</v>
      </c>
      <c r="AB10" s="116">
        <f>SUM(AB8:AB9)</f>
        <v>25</v>
      </c>
      <c r="AC10" s="210"/>
      <c r="AD10" s="74" t="s">
        <v>512</v>
      </c>
      <c r="AE10" s="75" t="e">
        <f t="shared" si="1"/>
        <v>#N/A</v>
      </c>
      <c r="AF10" s="216">
        <f t="shared" si="4"/>
        <v>3.2299999999999998E-3</v>
      </c>
      <c r="AG10" s="75">
        <f t="shared" si="5"/>
        <v>1</v>
      </c>
      <c r="AH10" s="210"/>
      <c r="AI10" s="150" t="e">
        <f t="shared" si="2"/>
        <v>#N/A</v>
      </c>
      <c r="AJ10" s="74">
        <f>V7</f>
        <v>240</v>
      </c>
      <c r="AK10" s="151" t="e">
        <f t="shared" si="6"/>
        <v>#N/A</v>
      </c>
      <c r="AL10" s="548"/>
      <c r="AM10" s="548"/>
    </row>
    <row r="11" spans="2:39" x14ac:dyDescent="0.25">
      <c r="B11" s="75">
        <v>6</v>
      </c>
      <c r="C11" s="74">
        <f t="shared" si="3"/>
        <v>16510.001</v>
      </c>
      <c r="D11" s="75">
        <v>26240</v>
      </c>
      <c r="F11" s="75">
        <v>6</v>
      </c>
      <c r="G11" s="74">
        <v>7</v>
      </c>
      <c r="H11" s="75">
        <v>0.49099999999999999</v>
      </c>
      <c r="I11" s="74">
        <v>0.51</v>
      </c>
      <c r="J11" s="75">
        <v>0.80800000000000005</v>
      </c>
      <c r="K11" s="114"/>
      <c r="L11" s="114"/>
      <c r="M11" s="114"/>
      <c r="U11" s="212" t="s">
        <v>519</v>
      </c>
      <c r="V11" s="80">
        <f>'2 Inv Calcs'!BV18</f>
        <v>240</v>
      </c>
      <c r="X11" s="560"/>
      <c r="Y11" s="164"/>
      <c r="Z11" s="82"/>
      <c r="AA11" s="156"/>
      <c r="AB11" s="226"/>
      <c r="AC11" s="211"/>
      <c r="AD11" s="81"/>
      <c r="AE11" s="82"/>
      <c r="AF11" s="217"/>
      <c r="AG11" s="81"/>
      <c r="AH11" s="211"/>
      <c r="AI11" s="157"/>
      <c r="AJ11" s="81"/>
      <c r="AK11" s="158"/>
      <c r="AL11" s="549"/>
      <c r="AM11" s="549"/>
    </row>
    <row r="12" spans="2:39" x14ac:dyDescent="0.25">
      <c r="B12" s="75">
        <v>4</v>
      </c>
      <c r="C12" s="74">
        <f>D11+0.001</f>
        <v>26240.001</v>
      </c>
      <c r="D12" s="75">
        <v>41740</v>
      </c>
      <c r="F12" s="75">
        <v>4</v>
      </c>
      <c r="G12" s="74">
        <v>7</v>
      </c>
      <c r="H12" s="75">
        <v>0.308</v>
      </c>
      <c r="I12" s="74">
        <v>0.32100000000000001</v>
      </c>
      <c r="J12" s="75">
        <v>0.50800000000000001</v>
      </c>
      <c r="K12" s="114"/>
      <c r="L12" s="114"/>
      <c r="M12" s="114"/>
      <c r="U12" s="213" t="s">
        <v>517</v>
      </c>
      <c r="V12" s="75">
        <f>'2 Inv Calcs'!BY9</f>
        <v>12.5</v>
      </c>
      <c r="AE12" s="114"/>
      <c r="AF12" s="159"/>
      <c r="AG12" s="159"/>
      <c r="AH12" s="160"/>
      <c r="AI12" s="159"/>
      <c r="AJ12" s="160"/>
      <c r="AK12" s="161"/>
      <c r="AL12" s="160"/>
    </row>
    <row r="13" spans="2:39" x14ac:dyDescent="0.25">
      <c r="B13" s="75">
        <v>3</v>
      </c>
      <c r="C13" s="74">
        <f t="shared" si="3"/>
        <v>41740.000999999997</v>
      </c>
      <c r="D13" s="75">
        <v>52620</v>
      </c>
      <c r="F13" s="75">
        <v>3</v>
      </c>
      <c r="G13" s="74">
        <v>7</v>
      </c>
      <c r="H13" s="75">
        <v>0.245</v>
      </c>
      <c r="I13" s="74">
        <v>0.254</v>
      </c>
      <c r="J13" s="75">
        <v>0.40300000000000002</v>
      </c>
      <c r="K13" s="114"/>
      <c r="L13" s="114"/>
      <c r="M13" s="114"/>
      <c r="U13" s="214" t="s">
        <v>560</v>
      </c>
      <c r="V13" s="82">
        <f>'2 Inv Calcs'!BV10</f>
        <v>380</v>
      </c>
      <c r="X13" s="71"/>
      <c r="Y13" s="71"/>
      <c r="Z13" s="71"/>
      <c r="AA13" s="71"/>
      <c r="AB13" s="71"/>
      <c r="AC13" s="71"/>
    </row>
    <row r="14" spans="2:39" x14ac:dyDescent="0.25">
      <c r="B14" s="75">
        <v>2</v>
      </c>
      <c r="C14" s="74">
        <f t="shared" si="3"/>
        <v>52620.000999999997</v>
      </c>
      <c r="D14" s="75">
        <v>66360</v>
      </c>
      <c r="F14" s="75">
        <v>2</v>
      </c>
      <c r="G14" s="74">
        <v>7</v>
      </c>
      <c r="H14" s="75">
        <v>0.19400000000000001</v>
      </c>
      <c r="I14" s="74">
        <v>0.20100000000000001</v>
      </c>
      <c r="J14" s="75">
        <v>0.31900000000000001</v>
      </c>
      <c r="K14" s="114"/>
      <c r="L14" s="114"/>
      <c r="M14" s="114"/>
      <c r="X14" s="71"/>
      <c r="AA14" s="71"/>
      <c r="AB14" s="71"/>
      <c r="AC14" s="71"/>
      <c r="AD14" s="71"/>
      <c r="AE14" s="71"/>
    </row>
    <row r="15" spans="2:39" x14ac:dyDescent="0.25">
      <c r="B15" s="75">
        <v>1</v>
      </c>
      <c r="C15" s="74">
        <f t="shared" si="3"/>
        <v>66360.001000000004</v>
      </c>
      <c r="D15" s="75">
        <v>83690</v>
      </c>
      <c r="F15" s="75">
        <v>1</v>
      </c>
      <c r="G15" s="74">
        <v>19</v>
      </c>
      <c r="H15" s="75">
        <v>0.154</v>
      </c>
      <c r="I15" s="74">
        <v>0.16</v>
      </c>
      <c r="J15" s="75">
        <v>0.253</v>
      </c>
      <c r="K15" s="114"/>
      <c r="L15" s="114"/>
      <c r="M15" s="114"/>
      <c r="AA15" s="71"/>
      <c r="AB15" s="71"/>
      <c r="AC15" s="71"/>
      <c r="AD15" s="71"/>
      <c r="AE15" s="71"/>
    </row>
    <row r="16" spans="2:39" x14ac:dyDescent="0.25">
      <c r="B16" s="89" t="s">
        <v>19</v>
      </c>
      <c r="C16" s="74">
        <f t="shared" si="3"/>
        <v>83690.001000000004</v>
      </c>
      <c r="D16" s="75">
        <v>105600</v>
      </c>
      <c r="F16" s="89" t="s">
        <v>19</v>
      </c>
      <c r="G16" s="62">
        <v>19</v>
      </c>
      <c r="H16" s="75">
        <v>0.122</v>
      </c>
      <c r="I16" s="74">
        <v>0.127</v>
      </c>
      <c r="J16" s="75">
        <v>0.20100000000000001</v>
      </c>
      <c r="K16" s="114"/>
      <c r="L16" s="114"/>
      <c r="M16" s="114"/>
      <c r="Y16" s="71"/>
      <c r="Z16" s="71"/>
      <c r="AA16" s="71"/>
      <c r="AB16" s="71"/>
      <c r="AC16" s="71"/>
      <c r="AD16" s="71"/>
      <c r="AE16" s="71"/>
    </row>
    <row r="17" spans="2:37" x14ac:dyDescent="0.25">
      <c r="B17" s="89" t="s">
        <v>29</v>
      </c>
      <c r="C17" s="74">
        <f t="shared" si="3"/>
        <v>105600.001</v>
      </c>
      <c r="D17" s="75">
        <v>133100</v>
      </c>
      <c r="F17" s="89" t="s">
        <v>29</v>
      </c>
      <c r="G17" s="62">
        <v>19</v>
      </c>
      <c r="H17" s="75">
        <v>9.6699999999999994E-2</v>
      </c>
      <c r="I17" s="74">
        <v>0.10100000000000001</v>
      </c>
      <c r="J17" s="75">
        <v>0.159</v>
      </c>
      <c r="K17" s="114"/>
      <c r="L17" s="114"/>
      <c r="M17" s="114"/>
      <c r="Y17" s="71"/>
      <c r="Z17" s="71"/>
      <c r="AA17" s="71"/>
      <c r="AB17" s="71"/>
      <c r="AC17" s="71"/>
      <c r="AD17" s="71"/>
      <c r="AE17" s="71"/>
    </row>
    <row r="18" spans="2:37" x14ac:dyDescent="0.25">
      <c r="B18" s="75" t="s">
        <v>28</v>
      </c>
      <c r="C18" s="74">
        <f t="shared" si="3"/>
        <v>133100.00099999999</v>
      </c>
      <c r="D18" s="75">
        <v>167800</v>
      </c>
      <c r="F18" s="75" t="s">
        <v>28</v>
      </c>
      <c r="G18" s="74">
        <v>19</v>
      </c>
      <c r="H18" s="75">
        <v>7.6600000000000001E-2</v>
      </c>
      <c r="I18" s="74">
        <v>7.9699999999999993E-2</v>
      </c>
      <c r="J18" s="75">
        <v>0.126</v>
      </c>
      <c r="K18" s="114"/>
      <c r="L18" s="114"/>
      <c r="M18" s="114"/>
      <c r="AB18" s="71"/>
      <c r="AC18" s="71"/>
      <c r="AD18" s="71"/>
      <c r="AE18" s="71"/>
    </row>
    <row r="19" spans="2:37" x14ac:dyDescent="0.25">
      <c r="B19" s="75" t="s">
        <v>27</v>
      </c>
      <c r="C19" s="74">
        <f t="shared" si="3"/>
        <v>167800.00099999999</v>
      </c>
      <c r="D19" s="75">
        <v>211600</v>
      </c>
      <c r="F19" s="75" t="s">
        <v>27</v>
      </c>
      <c r="G19" s="74">
        <v>19</v>
      </c>
      <c r="H19" s="75">
        <v>6.08E-2</v>
      </c>
      <c r="I19" s="74">
        <v>6.2600000000000003E-2</v>
      </c>
      <c r="J19" s="75">
        <v>0.1</v>
      </c>
      <c r="K19" s="114"/>
      <c r="L19" s="114"/>
      <c r="M19" s="114"/>
      <c r="AB19" s="71"/>
      <c r="AC19" s="71"/>
      <c r="AD19" s="71"/>
      <c r="AE19" s="71"/>
    </row>
    <row r="20" spans="2:37" x14ac:dyDescent="0.25">
      <c r="B20" s="75">
        <v>250</v>
      </c>
      <c r="C20" s="74">
        <f t="shared" si="3"/>
        <v>211600.00099999999</v>
      </c>
      <c r="D20" s="75">
        <v>250000</v>
      </c>
      <c r="F20" s="75">
        <v>250</v>
      </c>
      <c r="G20" s="74">
        <v>37</v>
      </c>
      <c r="H20" s="75">
        <v>5.1499999999999997E-2</v>
      </c>
      <c r="I20" s="74">
        <v>5.3499999999999999E-2</v>
      </c>
      <c r="J20" s="75">
        <v>8.4699999999999998E-2</v>
      </c>
      <c r="K20" s="114"/>
      <c r="L20" s="114"/>
      <c r="M20" s="114"/>
      <c r="AB20" s="71"/>
      <c r="AC20" s="71"/>
      <c r="AD20" s="71"/>
      <c r="AE20" s="71"/>
    </row>
    <row r="21" spans="2:37" x14ac:dyDescent="0.25">
      <c r="B21" s="75">
        <v>300</v>
      </c>
      <c r="C21" s="74">
        <f t="shared" si="3"/>
        <v>250000.00099999999</v>
      </c>
      <c r="D21" s="75">
        <v>300000</v>
      </c>
      <c r="F21" s="75">
        <v>300</v>
      </c>
      <c r="G21" s="74">
        <v>37</v>
      </c>
      <c r="H21" s="75">
        <v>4.2900000000000001E-2</v>
      </c>
      <c r="I21" s="74">
        <v>4.4600000000000001E-2</v>
      </c>
      <c r="J21" s="75">
        <v>7.0699999999999999E-2</v>
      </c>
      <c r="K21" s="114"/>
      <c r="L21" s="114"/>
      <c r="M21" s="114"/>
      <c r="AB21" s="71"/>
      <c r="AC21" s="71"/>
      <c r="AD21" s="71"/>
      <c r="AE21" s="71"/>
    </row>
    <row r="22" spans="2:37" x14ac:dyDescent="0.25">
      <c r="B22" s="75">
        <v>350</v>
      </c>
      <c r="C22" s="74">
        <f t="shared" si="3"/>
        <v>300000.00099999999</v>
      </c>
      <c r="D22" s="75">
        <v>350000</v>
      </c>
      <c r="F22" s="75">
        <v>350</v>
      </c>
      <c r="G22" s="74">
        <v>37</v>
      </c>
      <c r="H22" s="75">
        <v>3.6700000000000003E-2</v>
      </c>
      <c r="I22" s="74">
        <v>3.8199999999999998E-2</v>
      </c>
      <c r="J22" s="75">
        <v>6.0499999999999998E-2</v>
      </c>
      <c r="K22" s="114"/>
      <c r="L22" s="114"/>
      <c r="M22" s="114"/>
      <c r="AB22" s="71"/>
      <c r="AC22" s="71"/>
      <c r="AD22" s="71"/>
      <c r="AE22" s="71"/>
    </row>
    <row r="23" spans="2:37" x14ac:dyDescent="0.25">
      <c r="B23" s="75">
        <v>400</v>
      </c>
      <c r="C23" s="74">
        <f t="shared" si="3"/>
        <v>350000.00099999999</v>
      </c>
      <c r="D23" s="75">
        <v>400000</v>
      </c>
      <c r="F23" s="75">
        <v>400</v>
      </c>
      <c r="G23" s="74">
        <v>37</v>
      </c>
      <c r="H23" s="75">
        <v>3.2099999999999997E-2</v>
      </c>
      <c r="I23" s="74">
        <v>3.3099999999999997E-2</v>
      </c>
      <c r="J23" s="75">
        <v>5.2900000000000003E-2</v>
      </c>
      <c r="K23" s="114"/>
      <c r="L23" s="114"/>
      <c r="M23" s="114"/>
      <c r="AA23" s="59"/>
      <c r="AB23" s="59"/>
      <c r="AC23" s="59"/>
      <c r="AD23" s="59"/>
      <c r="AE23" s="59"/>
      <c r="AF23" s="59"/>
    </row>
    <row r="24" spans="2:37" x14ac:dyDescent="0.25">
      <c r="B24" s="75">
        <v>500</v>
      </c>
      <c r="C24" s="74">
        <f t="shared" si="3"/>
        <v>400000.00099999999</v>
      </c>
      <c r="D24" s="75">
        <v>500000</v>
      </c>
      <c r="F24" s="75">
        <v>500</v>
      </c>
      <c r="G24" s="74">
        <v>37</v>
      </c>
      <c r="H24" s="75">
        <v>2.58E-2</v>
      </c>
      <c r="I24" s="74">
        <v>2.6499999999999999E-2</v>
      </c>
      <c r="J24" s="75">
        <v>4.24E-2</v>
      </c>
      <c r="K24" s="114"/>
      <c r="L24" s="114"/>
      <c r="M24" s="114"/>
      <c r="AA24" s="59"/>
      <c r="AB24" s="59"/>
      <c r="AC24" s="59"/>
      <c r="AD24" s="59"/>
      <c r="AE24" s="59"/>
      <c r="AF24" s="59"/>
    </row>
    <row r="25" spans="2:37" x14ac:dyDescent="0.25">
      <c r="B25" s="75">
        <v>600</v>
      </c>
      <c r="C25" s="74">
        <f t="shared" si="3"/>
        <v>500000.00099999999</v>
      </c>
      <c r="D25" s="75">
        <v>600000</v>
      </c>
      <c r="F25" s="75">
        <v>600</v>
      </c>
      <c r="G25" s="74">
        <v>61</v>
      </c>
      <c r="H25" s="75">
        <v>2.1399999999999999E-2</v>
      </c>
      <c r="I25" s="74">
        <v>2.23E-2</v>
      </c>
      <c r="J25" s="75">
        <v>3.5299999999999998E-2</v>
      </c>
      <c r="K25" s="114"/>
      <c r="L25" s="114"/>
      <c r="M25" s="114"/>
      <c r="AA25" s="59"/>
      <c r="AB25" s="59"/>
      <c r="AC25" s="59"/>
      <c r="AD25" s="59"/>
      <c r="AE25" s="59"/>
      <c r="AF25" s="59"/>
    </row>
    <row r="26" spans="2:37" x14ac:dyDescent="0.25">
      <c r="B26" s="75">
        <v>700</v>
      </c>
      <c r="C26" s="74">
        <f t="shared" si="3"/>
        <v>600000.00100000005</v>
      </c>
      <c r="D26" s="75">
        <v>700000</v>
      </c>
      <c r="F26" s="75">
        <v>700</v>
      </c>
      <c r="G26" s="74">
        <v>61</v>
      </c>
      <c r="H26" s="75">
        <v>1.84E-2</v>
      </c>
      <c r="I26" s="74">
        <v>1.89E-2</v>
      </c>
      <c r="J26" s="75">
        <v>3.0300000000000001E-2</v>
      </c>
      <c r="K26" s="114"/>
      <c r="L26" s="114"/>
      <c r="M26" s="114"/>
      <c r="AA26" s="59"/>
      <c r="AB26" s="59"/>
      <c r="AC26" s="59"/>
      <c r="AD26" s="59"/>
      <c r="AE26" s="59"/>
      <c r="AF26" s="59"/>
      <c r="AH26" s="550" t="s">
        <v>543</v>
      </c>
      <c r="AI26" s="550"/>
      <c r="AJ26" s="550"/>
      <c r="AK26" s="550"/>
    </row>
    <row r="27" spans="2:37" ht="15" customHeight="1" x14ac:dyDescent="0.25">
      <c r="B27" s="75">
        <v>750</v>
      </c>
      <c r="C27" s="74">
        <f t="shared" si="3"/>
        <v>700000.00100000005</v>
      </c>
      <c r="D27" s="75">
        <v>750000</v>
      </c>
      <c r="F27" s="75">
        <v>750</v>
      </c>
      <c r="G27" s="74">
        <v>61</v>
      </c>
      <c r="H27" s="75">
        <v>1.7100000000000001E-2</v>
      </c>
      <c r="I27" s="74">
        <v>1.7600000000000001E-2</v>
      </c>
      <c r="J27" s="75">
        <v>2.8199999999999999E-2</v>
      </c>
      <c r="K27" s="114"/>
      <c r="L27" s="114"/>
      <c r="M27" s="114"/>
      <c r="AA27" s="59"/>
      <c r="AB27" s="59"/>
      <c r="AC27" s="59"/>
      <c r="AD27" s="59"/>
      <c r="AE27" s="59"/>
      <c r="AF27" s="59"/>
    </row>
    <row r="28" spans="2:37" ht="15" customHeight="1" x14ac:dyDescent="0.25">
      <c r="B28" s="75">
        <v>800</v>
      </c>
      <c r="C28" s="74">
        <f t="shared" si="3"/>
        <v>750000.00100000005</v>
      </c>
      <c r="D28" s="75">
        <v>800000</v>
      </c>
      <c r="F28" s="75">
        <v>800</v>
      </c>
      <c r="G28" s="74">
        <v>61</v>
      </c>
      <c r="H28" s="75">
        <v>1.61E-2</v>
      </c>
      <c r="I28" s="74">
        <v>1.66E-2</v>
      </c>
      <c r="J28" s="75">
        <v>2.6499999999999999E-2</v>
      </c>
      <c r="K28" s="114"/>
      <c r="L28" s="114"/>
      <c r="M28" s="114"/>
      <c r="AA28" s="59"/>
      <c r="AB28" s="59"/>
      <c r="AC28" s="59"/>
      <c r="AD28" s="59"/>
      <c r="AE28" s="59"/>
      <c r="AF28" s="59"/>
      <c r="AH28" s="231" t="s">
        <v>541</v>
      </c>
      <c r="AI28" s="231" t="s">
        <v>542</v>
      </c>
      <c r="AJ28" s="231" t="s">
        <v>113</v>
      </c>
      <c r="AK28" s="231" t="s">
        <v>11</v>
      </c>
    </row>
    <row r="29" spans="2:37" x14ac:dyDescent="0.25">
      <c r="B29" s="75">
        <v>900</v>
      </c>
      <c r="C29" s="74">
        <f t="shared" si="3"/>
        <v>800000.00100000005</v>
      </c>
      <c r="D29" s="75">
        <v>900000</v>
      </c>
      <c r="F29" s="75">
        <v>900</v>
      </c>
      <c r="G29" s="74">
        <v>61</v>
      </c>
      <c r="H29" s="75">
        <v>1.43E-2</v>
      </c>
      <c r="I29" s="74">
        <v>1.47E-2</v>
      </c>
      <c r="J29" s="75">
        <v>2.35E-2</v>
      </c>
      <c r="K29" s="114"/>
      <c r="L29" s="114"/>
      <c r="M29" s="114"/>
      <c r="AA29" s="59"/>
      <c r="AB29" s="59"/>
      <c r="AC29" s="59"/>
      <c r="AD29" s="59"/>
      <c r="AE29" s="59"/>
      <c r="AF29" s="59"/>
      <c r="AH29" s="288">
        <f>'2 Inv Calcs'!AX4</f>
        <v>10</v>
      </c>
      <c r="AI29" s="230" t="s">
        <v>51</v>
      </c>
      <c r="AJ29" s="601">
        <f>'2 Inv Calcs'!AZ4</f>
        <v>6</v>
      </c>
      <c r="AK29" s="606">
        <v>1</v>
      </c>
    </row>
    <row r="30" spans="2:37" x14ac:dyDescent="0.25">
      <c r="B30" s="75">
        <v>1000</v>
      </c>
      <c r="C30" s="74">
        <f t="shared" si="3"/>
        <v>900000.00100000005</v>
      </c>
      <c r="D30" s="75">
        <v>1000000</v>
      </c>
      <c r="F30" s="75">
        <v>1000</v>
      </c>
      <c r="G30" s="74">
        <v>61</v>
      </c>
      <c r="H30" s="75">
        <v>1.29E-2</v>
      </c>
      <c r="I30" s="74">
        <v>1.32E-2</v>
      </c>
      <c r="J30" s="75">
        <v>2.12E-2</v>
      </c>
      <c r="K30" s="114"/>
      <c r="L30" s="114"/>
      <c r="M30" s="114"/>
      <c r="AA30" s="59"/>
      <c r="AB30" s="59"/>
      <c r="AC30" s="59"/>
      <c r="AD30" s="59"/>
      <c r="AE30" s="59"/>
      <c r="AF30" s="59"/>
      <c r="AH30" s="288">
        <f>'2 Inv Calcs'!AX5</f>
        <v>10</v>
      </c>
      <c r="AI30" s="230" t="s">
        <v>51</v>
      </c>
      <c r="AJ30" s="602"/>
      <c r="AK30" s="607"/>
    </row>
    <row r="31" spans="2:37" x14ac:dyDescent="0.25">
      <c r="B31" s="75">
        <v>1250</v>
      </c>
      <c r="C31" s="74">
        <f t="shared" si="3"/>
        <v>1000000.001</v>
      </c>
      <c r="D31" s="75">
        <v>1250000</v>
      </c>
      <c r="F31" s="75">
        <v>1250</v>
      </c>
      <c r="G31" s="74">
        <v>91</v>
      </c>
      <c r="H31" s="75">
        <v>1.03E-2</v>
      </c>
      <c r="I31" s="74">
        <v>1.06E-2</v>
      </c>
      <c r="J31" s="75">
        <v>1.6899999999999998E-2</v>
      </c>
      <c r="K31" s="114"/>
      <c r="L31" s="114"/>
      <c r="M31" s="114"/>
      <c r="AA31" s="59"/>
      <c r="AB31" s="59"/>
      <c r="AC31" s="59"/>
      <c r="AD31" s="59"/>
      <c r="AE31" s="59"/>
      <c r="AF31" s="59"/>
      <c r="AH31" s="288">
        <f>'2 Inv Calcs'!AX6</f>
        <v>10</v>
      </c>
      <c r="AI31" s="230" t="s">
        <v>51</v>
      </c>
      <c r="AJ31" s="603"/>
      <c r="AK31" s="608"/>
    </row>
    <row r="32" spans="2:37" x14ac:dyDescent="0.25">
      <c r="B32" s="75">
        <v>1500</v>
      </c>
      <c r="C32" s="74">
        <f t="shared" si="3"/>
        <v>1250000.0009999999</v>
      </c>
      <c r="D32" s="75">
        <v>1500000</v>
      </c>
      <c r="F32" s="75">
        <v>1500</v>
      </c>
      <c r="G32" s="74">
        <v>91</v>
      </c>
      <c r="H32" s="75">
        <v>8.5800000000000008E-3</v>
      </c>
      <c r="I32" s="74">
        <v>8.8299999999999993E-3</v>
      </c>
      <c r="J32" s="75">
        <v>1.41E-2</v>
      </c>
      <c r="K32" s="114"/>
      <c r="L32" s="114"/>
      <c r="M32" s="114"/>
      <c r="AA32" s="59"/>
      <c r="AB32" s="59"/>
      <c r="AC32" s="59"/>
      <c r="AD32" s="59"/>
      <c r="AE32" s="59"/>
      <c r="AF32" s="59"/>
      <c r="AH32" s="288">
        <f>'2 Inv Calcs'!AX7</f>
        <v>10</v>
      </c>
      <c r="AI32" s="230" t="s">
        <v>51</v>
      </c>
      <c r="AJ32" s="601">
        <f>'2 Inv Calcs'!AZ7</f>
        <v>6</v>
      </c>
      <c r="AK32" s="601">
        <v>2</v>
      </c>
    </row>
    <row r="33" spans="2:37" x14ac:dyDescent="0.25">
      <c r="B33" s="75">
        <v>1750</v>
      </c>
      <c r="C33" s="74">
        <f t="shared" si="3"/>
        <v>1500000.0009999999</v>
      </c>
      <c r="D33" s="75">
        <v>1750000</v>
      </c>
      <c r="F33" s="75">
        <v>1750</v>
      </c>
      <c r="G33" s="74">
        <v>91</v>
      </c>
      <c r="H33" s="75">
        <v>7.3499999999999998E-3</v>
      </c>
      <c r="I33" s="74">
        <v>7.5599999999999999E-3</v>
      </c>
      <c r="J33" s="75">
        <v>1.21E-2</v>
      </c>
      <c r="K33" s="114"/>
      <c r="L33" s="114"/>
      <c r="M33" s="114"/>
      <c r="AA33" s="59"/>
      <c r="AB33" s="59"/>
      <c r="AC33" s="59"/>
      <c r="AD33" s="59"/>
      <c r="AE33" s="59"/>
      <c r="AF33" s="59"/>
      <c r="AH33" s="288">
        <f>'2 Inv Calcs'!AX8</f>
        <v>10</v>
      </c>
      <c r="AI33" s="230" t="s">
        <v>51</v>
      </c>
      <c r="AJ33" s="602"/>
      <c r="AK33" s="604"/>
    </row>
    <row r="34" spans="2:37" x14ac:dyDescent="0.25">
      <c r="B34" s="82">
        <v>2000</v>
      </c>
      <c r="C34" s="81">
        <f t="shared" si="3"/>
        <v>1750000.0009999999</v>
      </c>
      <c r="D34" s="82">
        <v>2000000</v>
      </c>
      <c r="F34" s="82">
        <v>2000</v>
      </c>
      <c r="G34" s="81">
        <v>91</v>
      </c>
      <c r="H34" s="82">
        <v>6.43E-3</v>
      </c>
      <c r="I34" s="81">
        <v>6.62E-3</v>
      </c>
      <c r="J34" s="82">
        <v>1.06E-2</v>
      </c>
      <c r="K34" s="114"/>
      <c r="L34" s="114"/>
      <c r="M34" s="114"/>
      <c r="AA34" s="59"/>
      <c r="AB34" s="59"/>
      <c r="AC34" s="59"/>
      <c r="AD34" s="59"/>
      <c r="AE34" s="59"/>
      <c r="AF34" s="59"/>
      <c r="AH34" s="288">
        <f>'2 Inv Calcs'!AX9</f>
        <v>10</v>
      </c>
      <c r="AI34" s="230" t="s">
        <v>51</v>
      </c>
      <c r="AJ34" s="603"/>
      <c r="AK34" s="605"/>
    </row>
    <row r="35" spans="2:37" x14ac:dyDescent="0.25">
      <c r="K35" s="114"/>
      <c r="L35" s="114"/>
      <c r="M35" s="114"/>
      <c r="AA35" s="59"/>
      <c r="AB35" s="59"/>
      <c r="AC35" s="59"/>
      <c r="AD35" s="59"/>
      <c r="AE35" s="59"/>
      <c r="AF35" s="59"/>
      <c r="AH35" s="288">
        <f>'2 Inv Calcs'!AX10</f>
        <v>10</v>
      </c>
      <c r="AI35" s="230" t="s">
        <v>51</v>
      </c>
      <c r="AJ35" s="289">
        <f>'2 Inv Calcs'!AZ10</f>
        <v>10</v>
      </c>
      <c r="AK35" s="288">
        <v>3</v>
      </c>
    </row>
    <row r="36" spans="2:37" x14ac:dyDescent="0.25">
      <c r="K36" s="114"/>
      <c r="L36" s="114"/>
      <c r="M36" s="114"/>
      <c r="AA36" s="59"/>
      <c r="AB36" s="59"/>
      <c r="AC36" s="59"/>
      <c r="AD36" s="59"/>
      <c r="AE36" s="59"/>
      <c r="AF36" s="59"/>
      <c r="AH36" s="288">
        <f>'2 Inv Calcs'!AX11</f>
        <v>10</v>
      </c>
      <c r="AI36" s="230" t="s">
        <v>51</v>
      </c>
      <c r="AJ36" s="289">
        <f>'2 Inv Calcs'!AZ11</f>
        <v>10</v>
      </c>
      <c r="AK36" s="288">
        <v>4</v>
      </c>
    </row>
    <row r="37" spans="2:37" x14ac:dyDescent="0.25">
      <c r="K37" s="114"/>
      <c r="L37" s="114"/>
      <c r="M37" s="114"/>
      <c r="AA37" s="59"/>
      <c r="AB37" s="59"/>
      <c r="AC37" s="59"/>
      <c r="AD37" s="59"/>
      <c r="AE37" s="59"/>
      <c r="AF37" s="59"/>
      <c r="AH37" s="288">
        <f>'2 Inv Calcs'!AX12</f>
        <v>10</v>
      </c>
      <c r="AI37" s="288">
        <f>AH37</f>
        <v>10</v>
      </c>
      <c r="AJ37" s="289">
        <f>'2 Inv Calcs'!AZ12</f>
        <v>10</v>
      </c>
      <c r="AK37" s="288">
        <v>5</v>
      </c>
    </row>
    <row r="38" spans="2:37" x14ac:dyDescent="0.25">
      <c r="K38" s="114"/>
      <c r="L38" s="114"/>
      <c r="M38" s="114"/>
      <c r="AA38" s="59"/>
      <c r="AB38" s="59"/>
      <c r="AC38" s="59"/>
      <c r="AD38" s="59"/>
      <c r="AE38" s="59"/>
      <c r="AF38" s="59"/>
      <c r="AH38" s="288">
        <f>'2 Inv Calcs'!AX13</f>
        <v>10</v>
      </c>
      <c r="AI38" s="288">
        <f t="shared" ref="AI38:AI39" si="7">AH38</f>
        <v>10</v>
      </c>
      <c r="AJ38" s="289">
        <f>'2 Inv Calcs'!AZ13</f>
        <v>10</v>
      </c>
      <c r="AK38" s="288">
        <v>6</v>
      </c>
    </row>
    <row r="39" spans="2:37" x14ac:dyDescent="0.25">
      <c r="AA39" s="59"/>
      <c r="AB39" s="59"/>
      <c r="AC39" s="59"/>
      <c r="AD39" s="59"/>
      <c r="AE39" s="59"/>
      <c r="AF39" s="59"/>
      <c r="AH39" s="288">
        <f>'2 Inv Calcs'!AX14</f>
        <v>10</v>
      </c>
      <c r="AI39" s="288">
        <f t="shared" si="7"/>
        <v>10</v>
      </c>
      <c r="AJ39" s="289">
        <f>'2 Inv Calcs'!AZ14</f>
        <v>10</v>
      </c>
      <c r="AK39" s="312" t="s">
        <v>652</v>
      </c>
    </row>
    <row r="40" spans="2:37" x14ac:dyDescent="0.25">
      <c r="AA40" s="59"/>
      <c r="AB40" s="59"/>
      <c r="AC40" s="59"/>
      <c r="AD40" s="59"/>
      <c r="AE40" s="59"/>
      <c r="AF40" s="59"/>
    </row>
    <row r="41" spans="2:37" x14ac:dyDescent="0.25">
      <c r="AA41" s="59"/>
      <c r="AB41" s="59"/>
      <c r="AC41" s="59"/>
      <c r="AD41" s="59"/>
      <c r="AE41" s="59"/>
      <c r="AF41" s="59"/>
    </row>
    <row r="42" spans="2:37" x14ac:dyDescent="0.25">
      <c r="AA42" s="59"/>
      <c r="AB42" s="59"/>
      <c r="AC42" s="59"/>
      <c r="AD42" s="59"/>
      <c r="AE42" s="59"/>
      <c r="AF42" s="59"/>
    </row>
    <row r="43" spans="2:37" x14ac:dyDescent="0.25">
      <c r="AA43" s="59"/>
      <c r="AB43" s="59"/>
      <c r="AC43" s="59"/>
      <c r="AD43" s="59"/>
      <c r="AE43" s="59"/>
      <c r="AF43" s="59"/>
    </row>
    <row r="44" spans="2:37" x14ac:dyDescent="0.25">
      <c r="AA44" s="59"/>
      <c r="AB44" s="59"/>
      <c r="AC44" s="59"/>
      <c r="AD44" s="59"/>
      <c r="AE44" s="59"/>
      <c r="AF44" s="59"/>
    </row>
    <row r="45" spans="2:37" x14ac:dyDescent="0.25">
      <c r="AA45" s="59"/>
      <c r="AB45" s="59"/>
      <c r="AC45" s="59"/>
      <c r="AD45" s="59"/>
      <c r="AE45" s="59"/>
      <c r="AF45" s="59"/>
    </row>
    <row r="46" spans="2:37" x14ac:dyDescent="0.25">
      <c r="AA46" s="59"/>
      <c r="AB46" s="59"/>
      <c r="AC46" s="59"/>
      <c r="AD46" s="59"/>
      <c r="AE46" s="59"/>
      <c r="AF46" s="59"/>
    </row>
    <row r="47" spans="2:37" x14ac:dyDescent="0.25">
      <c r="AA47" s="59"/>
      <c r="AB47" s="59"/>
      <c r="AC47" s="59"/>
      <c r="AD47" s="59"/>
      <c r="AE47" s="59"/>
      <c r="AF47" s="59"/>
    </row>
    <row r="48" spans="2:37" x14ac:dyDescent="0.25">
      <c r="AA48" s="59"/>
      <c r="AB48" s="59"/>
      <c r="AC48" s="59"/>
      <c r="AD48" s="59"/>
      <c r="AE48" s="59"/>
      <c r="AF48" s="59"/>
    </row>
    <row r="49" spans="27:32" x14ac:dyDescent="0.25">
      <c r="AA49" s="59"/>
      <c r="AB49" s="59"/>
      <c r="AC49" s="59"/>
      <c r="AD49" s="59"/>
      <c r="AE49" s="59"/>
      <c r="AF49" s="59"/>
    </row>
    <row r="50" spans="27:32" x14ac:dyDescent="0.25">
      <c r="AA50" s="59"/>
      <c r="AB50" s="59"/>
      <c r="AC50" s="59"/>
      <c r="AD50" s="59"/>
      <c r="AE50" s="59"/>
      <c r="AF50" s="59"/>
    </row>
    <row r="51" spans="27:32" x14ac:dyDescent="0.25">
      <c r="AA51" s="59"/>
      <c r="AB51" s="59"/>
      <c r="AC51" s="59"/>
      <c r="AD51" s="59"/>
      <c r="AE51" s="59"/>
      <c r="AF51" s="59"/>
    </row>
    <row r="52" spans="27:32" x14ac:dyDescent="0.25">
      <c r="AA52" s="59"/>
      <c r="AB52" s="59"/>
      <c r="AC52" s="59"/>
      <c r="AD52" s="59"/>
      <c r="AE52" s="59"/>
      <c r="AF52" s="59"/>
    </row>
    <row r="53" spans="27:32" x14ac:dyDescent="0.25">
      <c r="AA53" s="59"/>
      <c r="AB53" s="59"/>
      <c r="AC53" s="59"/>
      <c r="AD53" s="59"/>
      <c r="AE53" s="59"/>
      <c r="AF53" s="59"/>
    </row>
    <row r="54" spans="27:32" x14ac:dyDescent="0.25">
      <c r="AA54" s="59"/>
      <c r="AB54" s="59"/>
      <c r="AC54" s="59"/>
      <c r="AD54" s="59"/>
      <c r="AE54" s="59"/>
      <c r="AF54" s="59"/>
    </row>
    <row r="55" spans="27:32" x14ac:dyDescent="0.25">
      <c r="AA55" s="59"/>
      <c r="AB55" s="59"/>
      <c r="AC55" s="59"/>
      <c r="AD55" s="59"/>
      <c r="AE55" s="59"/>
      <c r="AF55" s="59"/>
    </row>
    <row r="56" spans="27:32" x14ac:dyDescent="0.25">
      <c r="AA56" s="59"/>
      <c r="AB56" s="59"/>
      <c r="AC56" s="59"/>
      <c r="AD56" s="59"/>
      <c r="AE56" s="59"/>
      <c r="AF56" s="59"/>
    </row>
    <row r="57" spans="27:32" x14ac:dyDescent="0.25">
      <c r="AA57" s="59"/>
      <c r="AB57" s="59"/>
      <c r="AC57" s="59"/>
      <c r="AD57" s="59"/>
      <c r="AE57" s="59"/>
      <c r="AF57" s="59"/>
    </row>
    <row r="58" spans="27:32" x14ac:dyDescent="0.25">
      <c r="AA58" s="59"/>
      <c r="AB58" s="59"/>
      <c r="AC58" s="59"/>
      <c r="AD58" s="59"/>
      <c r="AE58" s="59"/>
      <c r="AF58" s="59"/>
    </row>
    <row r="59" spans="27:32" x14ac:dyDescent="0.25">
      <c r="AA59" s="59"/>
      <c r="AB59" s="59"/>
      <c r="AC59" s="59"/>
      <c r="AD59" s="59"/>
      <c r="AE59" s="59"/>
      <c r="AF59" s="59"/>
    </row>
  </sheetData>
  <mergeCells count="21">
    <mergeCell ref="AL3:AM3"/>
    <mergeCell ref="C4:D4"/>
    <mergeCell ref="L4:M4"/>
    <mergeCell ref="U3:V3"/>
    <mergeCell ref="AM4:AM11"/>
    <mergeCell ref="U6:V6"/>
    <mergeCell ref="X4:X7"/>
    <mergeCell ref="X8:X11"/>
    <mergeCell ref="AL4:AL7"/>
    <mergeCell ref="AL8:AL11"/>
    <mergeCell ref="U10:V10"/>
    <mergeCell ref="B3:D3"/>
    <mergeCell ref="H3:J3"/>
    <mergeCell ref="L3:M3"/>
    <mergeCell ref="O3:P3"/>
    <mergeCell ref="R3:S3"/>
    <mergeCell ref="AJ29:AJ31"/>
    <mergeCell ref="AJ32:AJ34"/>
    <mergeCell ref="AK32:AK34"/>
    <mergeCell ref="AK29:AK31"/>
    <mergeCell ref="AH26:AK26"/>
  </mergeCells>
  <conditionalFormatting sqref="AL8">
    <cfRule type="cellIs" dxfId="31" priority="7" operator="greaterThan">
      <formula>0.01</formula>
    </cfRule>
    <cfRule type="cellIs" dxfId="30" priority="8" operator="equal">
      <formula>0.01</formula>
    </cfRule>
    <cfRule type="cellIs" dxfId="29" priority="9" operator="lessThan">
      <formula>0.01</formula>
    </cfRule>
  </conditionalFormatting>
  <conditionalFormatting sqref="AL4">
    <cfRule type="cellIs" dxfId="28" priority="4" operator="greaterThan">
      <formula>0.02</formula>
    </cfRule>
    <cfRule type="cellIs" dxfId="27" priority="5" operator="equal">
      <formula>0.02</formula>
    </cfRule>
    <cfRule type="cellIs" dxfId="26" priority="6" operator="lessThan">
      <formula>0.02</formula>
    </cfRule>
  </conditionalFormatting>
  <conditionalFormatting sqref="AM4">
    <cfRule type="cellIs" dxfId="25" priority="1" operator="lessThan">
      <formula>0.03</formula>
    </cfRule>
    <cfRule type="cellIs" dxfId="24" priority="2" operator="equal">
      <formula>0.03</formula>
    </cfRule>
    <cfRule type="cellIs" dxfId="23" priority="3" operator="greaterThan">
      <formula>0.03</formula>
    </cfRule>
  </conditionalFormatting>
  <dataValidations disablePrompts="1" count="1">
    <dataValidation type="list" allowBlank="1" showInputMessage="1" showErrorMessage="1" sqref="AD4:AD11" xr:uid="{B3655456-7FEA-441D-B366-B473A429E62E}">
      <formula1>$H$4:$J$4</formula1>
    </dataValidation>
  </dataValidations>
  <pageMargins left="0.7" right="0.7" top="0.75" bottom="0.75" header="0.3" footer="0.3"/>
  <pageSetup orientation="portrait" horizontalDpi="360" verticalDpi="360" r:id="rId1"/>
  <ignoredErrors>
    <ignoredError sqref="AD4:AG4 AD10:AG10 AD5:AI5 AD7:AI7 AK6:AM7 AD6:AG6 AD8:AI8 AD9:AI9 AI4 AI10 AI11:AM11 AI6 AM8 AM4 AD11:AG11 AK4 AK5:AM5 AK8 AK9:AM9 AK10:AM10" evalError="1"/>
  </ignoredError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AF1F55-747B-4CAD-9923-FF564EBA013C}">
  <sheetPr codeName="Sheet12">
    <tabColor rgb="FFFFFF00"/>
  </sheetPr>
  <dimension ref="B2:Q73"/>
  <sheetViews>
    <sheetView zoomScale="80" zoomScaleNormal="80" workbookViewId="0"/>
  </sheetViews>
  <sheetFormatPr defaultRowHeight="15" x14ac:dyDescent="0.25"/>
  <cols>
    <col min="1" max="1" width="5.7109375" customWidth="1"/>
    <col min="3" max="3" width="42.140625" customWidth="1"/>
    <col min="4" max="4" width="35.7109375" customWidth="1"/>
    <col min="5" max="5" width="10.7109375" customWidth="1"/>
    <col min="6" max="6" width="30.7109375" customWidth="1"/>
    <col min="7" max="8" width="10.7109375" customWidth="1"/>
    <col min="9" max="9" width="11.5703125" customWidth="1"/>
    <col min="10" max="10" width="30.7109375" customWidth="1"/>
    <col min="11" max="12" width="10.7109375" customWidth="1"/>
    <col min="13" max="13" width="9.140625" customWidth="1"/>
    <col min="14" max="14" width="13.7109375" bestFit="1" customWidth="1"/>
    <col min="15" max="15" width="29.7109375" customWidth="1"/>
    <col min="16" max="16" width="16.42578125" customWidth="1"/>
    <col min="17" max="17" width="36.5703125" customWidth="1"/>
  </cols>
  <sheetData>
    <row r="2" spans="2:17" x14ac:dyDescent="0.25">
      <c r="B2" s="126"/>
      <c r="C2" s="127" t="s">
        <v>530</v>
      </c>
      <c r="D2" s="127"/>
      <c r="E2" s="127"/>
      <c r="F2" s="127"/>
      <c r="G2" s="127"/>
      <c r="H2" s="127"/>
      <c r="I2" s="127"/>
      <c r="J2" s="127"/>
      <c r="K2" s="127"/>
      <c r="L2" s="127"/>
      <c r="M2" s="128"/>
    </row>
    <row r="3" spans="2:17" ht="18" customHeight="1" x14ac:dyDescent="0.25">
      <c r="B3" s="129"/>
      <c r="C3" s="364" t="s">
        <v>379</v>
      </c>
      <c r="D3" s="365"/>
      <c r="E3" s="108"/>
      <c r="F3" s="166"/>
      <c r="G3" s="108"/>
      <c r="H3" s="108"/>
      <c r="I3" s="108"/>
      <c r="J3" s="108"/>
      <c r="K3" s="108"/>
      <c r="L3" s="108"/>
      <c r="M3" s="109"/>
      <c r="O3" s="322" t="s">
        <v>761</v>
      </c>
      <c r="P3" s="326" t="s">
        <v>774</v>
      </c>
      <c r="Q3" s="323" t="s">
        <v>771</v>
      </c>
    </row>
    <row r="4" spans="2:17" ht="18" customHeight="1" x14ac:dyDescent="0.25">
      <c r="B4" s="129"/>
      <c r="C4" s="237" t="s">
        <v>291</v>
      </c>
      <c r="D4" s="167" t="s">
        <v>92</v>
      </c>
      <c r="E4" s="168"/>
      <c r="F4" s="168"/>
      <c r="G4" s="168"/>
      <c r="H4" s="108"/>
      <c r="I4" s="108"/>
      <c r="J4" s="108"/>
      <c r="K4" s="108"/>
      <c r="L4" s="108"/>
      <c r="M4" s="109"/>
      <c r="O4" s="133" t="s">
        <v>762</v>
      </c>
      <c r="P4" s="327" t="s">
        <v>89</v>
      </c>
      <c r="Q4" s="352" t="s">
        <v>775</v>
      </c>
    </row>
    <row r="5" spans="2:17" ht="18" customHeight="1" x14ac:dyDescent="0.25">
      <c r="B5" s="129"/>
      <c r="C5" s="124" t="s">
        <v>362</v>
      </c>
      <c r="D5" s="338" t="s">
        <v>751</v>
      </c>
      <c r="E5" s="168"/>
      <c r="F5" s="168"/>
      <c r="G5" s="168"/>
      <c r="H5" s="108"/>
      <c r="I5" s="108"/>
      <c r="J5" s="108"/>
      <c r="K5" s="108"/>
      <c r="L5" s="108"/>
      <c r="M5" s="109"/>
      <c r="O5" s="133" t="s">
        <v>763</v>
      </c>
      <c r="P5" s="327" t="s">
        <v>89</v>
      </c>
      <c r="Q5" s="353"/>
    </row>
    <row r="6" spans="2:17" ht="18" customHeight="1" x14ac:dyDescent="0.25">
      <c r="B6" s="129"/>
      <c r="C6" s="125" t="s">
        <v>527</v>
      </c>
      <c r="D6" s="609"/>
      <c r="E6" s="610"/>
      <c r="F6" s="610"/>
      <c r="G6" s="611"/>
      <c r="H6" s="384" t="str">
        <f>IF(SUM(COUNTIF(D6,{"*Bellwood*","*South Brunswick*","*Bensenville*","*Westmont*","*Charlotte*","*Waukegan*"})),"Check Permit Office Master List, AHJ has specific requirements!","Good.")</f>
        <v>Good.</v>
      </c>
      <c r="I6" s="385"/>
      <c r="J6" s="385"/>
      <c r="K6" s="385"/>
      <c r="L6" s="385"/>
      <c r="M6" s="109"/>
      <c r="O6" s="133" t="s">
        <v>764</v>
      </c>
      <c r="P6" s="327" t="s">
        <v>89</v>
      </c>
      <c r="Q6" s="354"/>
    </row>
    <row r="7" spans="2:17" ht="18" customHeight="1" x14ac:dyDescent="0.25">
      <c r="B7" s="129"/>
      <c r="C7" s="125" t="s">
        <v>298</v>
      </c>
      <c r="D7" s="388" t="s">
        <v>754</v>
      </c>
      <c r="E7" s="569"/>
      <c r="F7" s="569"/>
      <c r="G7" s="570"/>
      <c r="H7" s="384" t="str">
        <f>VLOOKUP(D7,'Utility &amp; Client Info'!C3:J101,8,FALSE)</f>
        <v>No additional requirements.</v>
      </c>
      <c r="I7" s="385"/>
      <c r="J7" s="385"/>
      <c r="K7" s="385"/>
      <c r="L7" s="385"/>
      <c r="M7" s="386"/>
      <c r="O7" s="133" t="s">
        <v>766</v>
      </c>
      <c r="P7" s="327" t="s">
        <v>89</v>
      </c>
      <c r="Q7" s="133" t="s">
        <v>769</v>
      </c>
    </row>
    <row r="8" spans="2:17" ht="18" customHeight="1" x14ac:dyDescent="0.25">
      <c r="B8" s="129"/>
      <c r="C8" s="337" t="s">
        <v>776</v>
      </c>
      <c r="D8" s="381">
        <v>2017</v>
      </c>
      <c r="E8" s="382"/>
      <c r="F8" s="382"/>
      <c r="G8" s="383"/>
      <c r="H8" s="384" t="str">
        <f>IF(OR(D5="IL",D5="FL"),"Use NEC 2014 unless there are specific AHJ requirements.","")</f>
        <v/>
      </c>
      <c r="I8" s="385"/>
      <c r="J8" s="385"/>
      <c r="K8" s="385"/>
      <c r="L8" s="385"/>
      <c r="M8" s="386"/>
      <c r="O8" s="133" t="s">
        <v>765</v>
      </c>
      <c r="P8" s="327" t="s">
        <v>89</v>
      </c>
      <c r="Q8" s="133" t="s">
        <v>770</v>
      </c>
    </row>
    <row r="9" spans="2:17" ht="50.25" customHeight="1" x14ac:dyDescent="0.25">
      <c r="B9" s="129"/>
      <c r="C9" s="330" t="s">
        <v>376</v>
      </c>
      <c r="D9" s="378" t="str">
        <f>IF(D4="", "", IFERROR(VLOOKUP(D4,'Utility &amp; Client Info'!Y3:Z10, 2, FALSE), "Error"))</f>
        <v>No wire smaller than 10 AWG or 3/4" conduit</v>
      </c>
      <c r="E9" s="379"/>
      <c r="F9" s="379"/>
      <c r="G9" s="379"/>
      <c r="H9" s="379"/>
      <c r="I9" s="380"/>
      <c r="J9" s="256"/>
      <c r="K9" s="256"/>
      <c r="L9" s="108"/>
      <c r="M9" s="109"/>
      <c r="O9" s="324" t="s">
        <v>772</v>
      </c>
      <c r="P9" s="328" t="s">
        <v>89</v>
      </c>
      <c r="Q9" s="325" t="s">
        <v>770</v>
      </c>
    </row>
    <row r="10" spans="2:17" ht="18" customHeight="1" x14ac:dyDescent="0.25">
      <c r="B10" s="129"/>
      <c r="C10" s="62"/>
      <c r="D10" s="62"/>
      <c r="E10" s="62"/>
      <c r="F10" s="62"/>
      <c r="G10" s="62"/>
      <c r="H10" s="168"/>
      <c r="I10" s="108"/>
      <c r="J10" s="108"/>
      <c r="K10" s="108"/>
      <c r="L10" s="108"/>
      <c r="M10" s="109"/>
      <c r="O10" s="133" t="s">
        <v>767</v>
      </c>
      <c r="P10" s="327" t="s">
        <v>89</v>
      </c>
      <c r="Q10" s="133" t="s">
        <v>768</v>
      </c>
    </row>
    <row r="11" spans="2:17" ht="18" customHeight="1" x14ac:dyDescent="0.25">
      <c r="B11" s="129"/>
      <c r="C11" s="364" t="s">
        <v>302</v>
      </c>
      <c r="D11" s="365"/>
      <c r="E11" s="108"/>
      <c r="F11" s="364" t="s">
        <v>564</v>
      </c>
      <c r="G11" s="365"/>
      <c r="H11" s="87" t="s">
        <v>469</v>
      </c>
      <c r="I11" s="108"/>
      <c r="J11" s="364" t="s">
        <v>567</v>
      </c>
      <c r="K11" s="365"/>
      <c r="L11" s="255" t="s">
        <v>469</v>
      </c>
      <c r="M11" s="69"/>
    </row>
    <row r="12" spans="2:17" ht="18" customHeight="1" x14ac:dyDescent="0.25">
      <c r="B12" s="129"/>
      <c r="C12" s="121" t="s">
        <v>297</v>
      </c>
      <c r="D12" s="170" t="s">
        <v>682</v>
      </c>
      <c r="E12" s="108"/>
      <c r="F12" s="237" t="s">
        <v>293</v>
      </c>
      <c r="G12" s="170">
        <v>1</v>
      </c>
      <c r="H12" s="375">
        <f>SUM(G12:G14)</f>
        <v>1</v>
      </c>
      <c r="I12" s="108"/>
      <c r="J12" s="237" t="s">
        <v>293</v>
      </c>
      <c r="K12" s="170">
        <v>1</v>
      </c>
      <c r="L12" s="612">
        <f>SUM(K12:K14)</f>
        <v>1</v>
      </c>
      <c r="M12" s="69"/>
      <c r="O12" s="368" t="s">
        <v>773</v>
      </c>
      <c r="P12" s="368"/>
      <c r="Q12" s="368"/>
    </row>
    <row r="13" spans="2:17" ht="18" customHeight="1" x14ac:dyDescent="0.25">
      <c r="B13" s="129"/>
      <c r="C13" s="89" t="s">
        <v>280</v>
      </c>
      <c r="D13" s="172">
        <v>3</v>
      </c>
      <c r="E13" s="108"/>
      <c r="F13" s="125" t="s">
        <v>294</v>
      </c>
      <c r="G13" s="173" t="s">
        <v>94</v>
      </c>
      <c r="H13" s="376"/>
      <c r="I13" s="108"/>
      <c r="J13" s="125" t="s">
        <v>294</v>
      </c>
      <c r="K13" s="173" t="s">
        <v>94</v>
      </c>
      <c r="L13" s="613"/>
      <c r="M13" s="69"/>
    </row>
    <row r="14" spans="2:17" ht="18" customHeight="1" x14ac:dyDescent="0.25">
      <c r="B14" s="129"/>
      <c r="C14" s="117" t="s">
        <v>377</v>
      </c>
      <c r="D14" s="172">
        <v>1</v>
      </c>
      <c r="E14" s="108"/>
      <c r="F14" s="176" t="s">
        <v>295</v>
      </c>
      <c r="G14" s="175" t="s">
        <v>94</v>
      </c>
      <c r="H14" s="377"/>
      <c r="I14" s="108"/>
      <c r="J14" s="176" t="s">
        <v>295</v>
      </c>
      <c r="K14" s="175" t="s">
        <v>94</v>
      </c>
      <c r="L14" s="614"/>
      <c r="M14" s="69"/>
    </row>
    <row r="15" spans="2:17" ht="18" customHeight="1" x14ac:dyDescent="0.25">
      <c r="B15" s="129"/>
      <c r="C15" s="123" t="s">
        <v>378</v>
      </c>
      <c r="D15" s="177">
        <v>1</v>
      </c>
      <c r="E15" s="108"/>
      <c r="F15" s="237" t="s">
        <v>282</v>
      </c>
      <c r="G15" s="565" t="s">
        <v>192</v>
      </c>
      <c r="H15" s="565"/>
      <c r="I15" s="108"/>
      <c r="J15" s="237" t="s">
        <v>282</v>
      </c>
      <c r="K15" s="565" t="s">
        <v>192</v>
      </c>
      <c r="L15" s="615"/>
      <c r="M15" s="69"/>
    </row>
    <row r="16" spans="2:17" ht="18" customHeight="1" x14ac:dyDescent="0.25">
      <c r="B16" s="129"/>
      <c r="C16" s="238" t="s">
        <v>490</v>
      </c>
      <c r="D16" s="175" t="s">
        <v>89</v>
      </c>
      <c r="E16" s="108"/>
      <c r="F16" s="241" t="s">
        <v>565</v>
      </c>
      <c r="G16" s="567">
        <f>H12*LEFT(VLOOKUP(D12,Panels!B4:K103,2,FALSE),LEN(VLOOKUP(D12,Panels!B4:K103,2,FALSE))-1)</f>
        <v>300</v>
      </c>
      <c r="H16" s="567"/>
      <c r="I16" s="108"/>
      <c r="J16" s="241" t="s">
        <v>565</v>
      </c>
      <c r="K16" s="567">
        <f>L12*LEFT(VLOOKUP(D12,Panels!B4:K103,2,FALSE),LEN(VLOOKUP(D12,Panels!B4:K103,2,FALSE))-1)</f>
        <v>300</v>
      </c>
      <c r="L16" s="616"/>
      <c r="M16" s="69"/>
    </row>
    <row r="17" spans="2:15" ht="18" customHeight="1" x14ac:dyDescent="0.25">
      <c r="B17" s="129"/>
      <c r="C17" s="366" t="str">
        <f>IF(OR(ISNUMBER(SEARCH("DUKE",D7)),ISNUMBER(SEARCH("PROGRESS",D7))),"Duke always does line-side tap, change 'Is there space for PV Breaker?' to 'No'","")</f>
        <v/>
      </c>
      <c r="D17" s="366"/>
      <c r="E17" s="108"/>
      <c r="F17" s="258" t="s">
        <v>566</v>
      </c>
      <c r="G17" s="566" t="str">
        <f>LOOKUP(G16,1/(Inverters!C4:C10&lt;=G16)/(Inverters!D4:D10&gt;=G16),Inverters!B4:B10)</f>
        <v>SE3000H-US</v>
      </c>
      <c r="H17" s="566"/>
      <c r="I17" s="108"/>
      <c r="J17" s="258" t="s">
        <v>566</v>
      </c>
      <c r="K17" s="566" t="str">
        <f>LOOKUP(K16,1/(Inverters!C4:C10&lt;=K16)/(Inverters!D4:D10&gt;=K16),Inverters!B4:B10)</f>
        <v>SE3000H-US</v>
      </c>
      <c r="L17" s="617"/>
      <c r="M17" s="69"/>
    </row>
    <row r="18" spans="2:15" ht="18" customHeight="1" x14ac:dyDescent="0.25">
      <c r="B18" s="129"/>
      <c r="C18" s="108"/>
      <c r="D18" s="108"/>
      <c r="E18" s="108"/>
      <c r="F18" s="366" t="str">
        <f>IF(OR(AND(ISNUMBER(G12),G12&lt;8),AND(ISNUMBER(G13),G13&lt;8),AND(ISNUMBER(G14),G14&lt;8)),"Error, minimum number of optimizers in series is 8.","")</f>
        <v>Error, minimum number of optimizers in series is 8.</v>
      </c>
      <c r="G18" s="366"/>
      <c r="H18" s="366"/>
      <c r="I18" s="108"/>
      <c r="J18" s="366" t="str">
        <f>IF(OR(AND(ISNUMBER(K12),K12&lt;8),AND(ISNUMBER(K13),K13&lt;8),AND(ISNUMBER(K14),K14&lt;8)),"Error, minimum number of optimizers in series is 8.","")</f>
        <v>Error, minimum number of optimizers in series is 8.</v>
      </c>
      <c r="K18" s="366"/>
      <c r="L18" s="366"/>
      <c r="M18" s="109"/>
    </row>
    <row r="19" spans="2:15" ht="18" customHeight="1" x14ac:dyDescent="0.25">
      <c r="B19" s="129"/>
      <c r="C19" s="237" t="s">
        <v>398</v>
      </c>
      <c r="D19" s="240" t="str">
        <f>VLOOKUP(D12,Panels!B4:K103,10,FALSE)</f>
        <v>P320</v>
      </c>
      <c r="E19" s="108"/>
      <c r="F19" s="367" t="str">
        <f>IF(OR(AND(ISNUMBER(G12),G12&gt;D21),AND(ISNUMBER(G13),G13&gt;D21),AND(ISNUMBER(G14),G14&gt;D21)),CONCATENATE("Error, maximum string size is ",D21,"."),"")</f>
        <v/>
      </c>
      <c r="G19" s="367"/>
      <c r="H19" s="367"/>
      <c r="I19" s="108"/>
      <c r="J19" s="367" t="str">
        <f>IF(OR(AND(ISNUMBER(K12),K12&gt;D21),AND(ISNUMBER(K13),K13&gt;D21),AND(ISNUMBER(K14),K14&gt;D21)),CONCATENATE("Error, maximum string size is ",D21,"."),"")</f>
        <v/>
      </c>
      <c r="K19" s="367"/>
      <c r="L19" s="367"/>
      <c r="M19" s="109"/>
      <c r="N19" s="180"/>
    </row>
    <row r="20" spans="2:15" ht="18" customHeight="1" x14ac:dyDescent="0.25">
      <c r="B20" s="129"/>
      <c r="C20" s="176" t="s">
        <v>468</v>
      </c>
      <c r="D20" s="239">
        <f>ROUNDUP(D13/D21,0)</f>
        <v>1</v>
      </c>
      <c r="E20" s="108"/>
      <c r="F20" s="108"/>
      <c r="G20" s="108"/>
      <c r="H20" s="108"/>
      <c r="I20" s="108"/>
      <c r="J20" s="108"/>
      <c r="K20" s="108"/>
      <c r="L20" s="108"/>
      <c r="M20" s="109"/>
      <c r="N20" s="180"/>
    </row>
    <row r="21" spans="2:15" ht="18" customHeight="1" x14ac:dyDescent="0.25">
      <c r="B21" s="129"/>
      <c r="C21" s="89" t="s">
        <v>283</v>
      </c>
      <c r="D21" s="183">
        <f>ROUNDDOWN(VLOOKUP(G15,Inverters!B15:J28,9,FALSE)/LEFT(VLOOKUP(D12,Panels!B4:K103,2,FALSE),LEN(VLOOKUP(D12,Panels!B4:K103,2,FALSE))-1),0)</f>
        <v>19</v>
      </c>
      <c r="E21" s="108"/>
      <c r="F21" s="364" t="s">
        <v>641</v>
      </c>
      <c r="G21" s="365"/>
      <c r="H21" s="87" t="s">
        <v>469</v>
      </c>
      <c r="I21" s="108"/>
      <c r="J21" s="373" t="s">
        <v>463</v>
      </c>
      <c r="K21" s="374"/>
      <c r="L21" s="108"/>
      <c r="M21" s="109"/>
      <c r="N21" s="180"/>
    </row>
    <row r="22" spans="2:15" ht="18" customHeight="1" x14ac:dyDescent="0.25">
      <c r="B22" s="129"/>
      <c r="C22" s="125" t="s">
        <v>290</v>
      </c>
      <c r="D22" s="183">
        <f>D13*LEFT(VLOOKUP(D12,Panels!B4:K103,2,FALSE),LEN(VLOOKUP(D12,Panels!B4:K103,2,FALSE))-1)</f>
        <v>900</v>
      </c>
      <c r="E22" s="108"/>
      <c r="F22" s="237" t="s">
        <v>293</v>
      </c>
      <c r="G22" s="170">
        <v>1</v>
      </c>
      <c r="H22" s="375">
        <f>SUM(G22:G24)</f>
        <v>1</v>
      </c>
      <c r="I22" s="108"/>
      <c r="J22" s="179" t="s">
        <v>464</v>
      </c>
      <c r="K22" s="220" t="str">
        <f>CONCATENATE(ROUND(LEFT(VLOOKUP(D12,Panels!B4:K103,5,FALSE),LEN(VLOOKUP(D12,Panels!B4:K103,5,FALSE))-1)+((D27-25)*(LEFT(VLOOKUP(D12,Panels!B4:K103,5,FALSE),LEN(VLOOKUP(D12,Panels!B4:K103,5,FALSE))-1)*(LEFT(VLOOKUP(D12,Panels!B4:K103,7,FALSE),LEN(VLOOKUP(D12,Panels!B4:K103,7,FALSE))-4)/100))),2),"V")</f>
        <v>45.33V</v>
      </c>
      <c r="L22" s="108"/>
      <c r="M22" s="109"/>
      <c r="N22" s="180"/>
      <c r="O22" s="134"/>
    </row>
    <row r="23" spans="2:15" ht="18" customHeight="1" x14ac:dyDescent="0.25">
      <c r="B23" s="129"/>
      <c r="C23" s="176" t="s">
        <v>383</v>
      </c>
      <c r="D23" s="258" t="str">
        <f>IF(((LEFT(VLOOKUP(G15,Inverters!B15:J28,5,FALSE),LEN(VLOOKUP(G15,Inverters!B15:J28,5,FALSE))-1)+LEFT(VLOOKUP(G25,Inverters!B15:J28,5,FALSE),LEN(VLOOKUP(G25,Inverters!B15:J28,5,FALSE))-1)+LEFT(VLOOKUP(K15,Inverters!B15:J28,5,FALSE),LEN(VLOOKUP(K15,Inverters!B15:J28,5,FALSE))-1))*1.25)&gt;((1.2*D15)-D14),"No","Yes")</f>
        <v>No</v>
      </c>
      <c r="E23" s="108"/>
      <c r="F23" s="125" t="s">
        <v>294</v>
      </c>
      <c r="G23" s="173" t="s">
        <v>94</v>
      </c>
      <c r="H23" s="376"/>
      <c r="I23" s="108"/>
      <c r="J23" s="182" t="s">
        <v>465</v>
      </c>
      <c r="K23" s="221" t="str">
        <f>VLOOKUP(D19,Optimizers!B4:H9,5,FALSE)</f>
        <v>48V</v>
      </c>
      <c r="L23" s="108"/>
      <c r="M23" s="109"/>
    </row>
    <row r="24" spans="2:15" ht="18" customHeight="1" x14ac:dyDescent="0.25">
      <c r="B24" s="129"/>
      <c r="C24" s="62"/>
      <c r="D24" s="62"/>
      <c r="E24" s="108"/>
      <c r="F24" s="176" t="s">
        <v>295</v>
      </c>
      <c r="G24" s="175" t="s">
        <v>94</v>
      </c>
      <c r="H24" s="377"/>
      <c r="I24" s="108"/>
      <c r="J24" s="182" t="s">
        <v>466</v>
      </c>
      <c r="K24" s="222" t="str">
        <f>VLOOKUP(D12,Panels!B4:K103,3,FALSE)</f>
        <v>9.77A</v>
      </c>
      <c r="L24" s="108"/>
      <c r="M24" s="109"/>
    </row>
    <row r="25" spans="2:15" ht="18" customHeight="1" x14ac:dyDescent="0.25">
      <c r="B25" s="129"/>
      <c r="C25" s="364" t="s">
        <v>292</v>
      </c>
      <c r="D25" s="365"/>
      <c r="E25" s="108"/>
      <c r="F25" s="237" t="s">
        <v>282</v>
      </c>
      <c r="G25" s="565" t="s">
        <v>192</v>
      </c>
      <c r="H25" s="565"/>
      <c r="I25" s="108"/>
      <c r="J25" s="184" t="s">
        <v>467</v>
      </c>
      <c r="K25" s="223" t="str">
        <f>VLOOKUP(D19,Optimizers!B4:H9,4,FALSE)</f>
        <v>11A</v>
      </c>
      <c r="L25" s="108"/>
      <c r="M25" s="109"/>
    </row>
    <row r="26" spans="2:15" ht="18" customHeight="1" x14ac:dyDescent="0.25">
      <c r="B26" s="129"/>
      <c r="C26" s="171" t="str">
        <f>IF(D4="Texas Energy Experts","0.4% DB High Temp (°C)","2% DB High Temp (°C)")</f>
        <v>2% DB High Temp (°C)</v>
      </c>
      <c r="D26" s="170">
        <v>25</v>
      </c>
      <c r="E26" s="108"/>
      <c r="F26" s="241" t="s">
        <v>565</v>
      </c>
      <c r="G26" s="567">
        <f>H22*LEFT(VLOOKUP(D12,Panels!B4:K103,2,FALSE),LEN(VLOOKUP(D12,Panels!B4:K103,2,FALSE))-1)</f>
        <v>300</v>
      </c>
      <c r="H26" s="567"/>
      <c r="I26" s="108"/>
      <c r="J26" s="108"/>
      <c r="K26" s="108"/>
      <c r="L26" s="108"/>
      <c r="M26" s="109"/>
    </row>
    <row r="27" spans="2:15" ht="18" customHeight="1" x14ac:dyDescent="0.25">
      <c r="B27" s="129"/>
      <c r="C27" s="174" t="s">
        <v>225</v>
      </c>
      <c r="D27" s="175">
        <v>-25</v>
      </c>
      <c r="E27" s="108"/>
      <c r="F27" s="258" t="s">
        <v>566</v>
      </c>
      <c r="G27" s="566" t="str">
        <f>LOOKUP(G26,1/(Inverters!C4:C10&lt;=G26)/(Inverters!D4:D10&gt;=G26),Inverters!B4:B10)</f>
        <v>SE3000H-US</v>
      </c>
      <c r="H27" s="566"/>
      <c r="I27" s="108"/>
      <c r="J27" s="108"/>
      <c r="K27" s="108"/>
      <c r="L27" s="108"/>
      <c r="M27" s="109"/>
    </row>
    <row r="28" spans="2:15" ht="18" customHeight="1" x14ac:dyDescent="0.25">
      <c r="B28" s="129"/>
      <c r="C28" s="62"/>
      <c r="D28" s="62"/>
      <c r="E28" s="108"/>
      <c r="F28" s="366" t="str">
        <f>IF(OR(AND(ISNUMBER(G22),G22&lt;8),AND(ISNUMBER(G23),G23&lt;8),AND(ISNUMBER(G24),G24&lt;8)),"Error, minimum number of optimizers in series is 8.","")</f>
        <v>Error, minimum number of optimizers in series is 8.</v>
      </c>
      <c r="G28" s="366"/>
      <c r="H28" s="366"/>
      <c r="I28" s="108"/>
      <c r="J28" s="108"/>
      <c r="K28" s="108"/>
      <c r="L28" s="108"/>
      <c r="M28" s="109"/>
    </row>
    <row r="29" spans="2:15" ht="18" customHeight="1" x14ac:dyDescent="0.25">
      <c r="B29" s="129"/>
      <c r="C29" s="62"/>
      <c r="D29" s="62"/>
      <c r="E29" s="108"/>
      <c r="F29" s="367" t="str">
        <f>IF(OR(AND(ISNUMBER(G22),G22&gt;D21),AND(ISNUMBER(G23),G23&gt;D21),AND(ISNUMBER(G24),G24&gt;D21)),CONCATENATE("Error, maximum string size is ",D21,"."),"")</f>
        <v/>
      </c>
      <c r="G29" s="367"/>
      <c r="H29" s="367"/>
      <c r="I29" s="108"/>
      <c r="J29" s="108"/>
      <c r="K29" s="108"/>
      <c r="L29" s="108"/>
      <c r="M29" s="109"/>
    </row>
    <row r="30" spans="2:15" ht="18" customHeight="1" x14ac:dyDescent="0.25">
      <c r="B30" s="129"/>
      <c r="C30" s="108"/>
      <c r="D30" s="108"/>
      <c r="E30" s="108"/>
      <c r="F30" s="108"/>
      <c r="G30" s="108"/>
      <c r="H30" s="108"/>
      <c r="I30" s="108"/>
      <c r="J30" s="108"/>
      <c r="K30" s="108"/>
      <c r="L30" s="108"/>
      <c r="M30" s="109"/>
    </row>
    <row r="31" spans="2:15" ht="18" customHeight="1" x14ac:dyDescent="0.25">
      <c r="B31" s="129"/>
      <c r="C31" s="364" t="s">
        <v>361</v>
      </c>
      <c r="D31" s="372"/>
      <c r="E31" s="372"/>
      <c r="F31" s="372"/>
      <c r="G31" s="372"/>
      <c r="H31" s="372"/>
      <c r="I31" s="372"/>
      <c r="J31" s="118" t="s">
        <v>529</v>
      </c>
      <c r="K31" s="85"/>
      <c r="L31" s="108"/>
      <c r="M31" s="109"/>
    </row>
    <row r="32" spans="2:15" ht="18" customHeight="1" x14ac:dyDescent="0.25">
      <c r="B32" s="129"/>
      <c r="C32" s="185" t="s">
        <v>528</v>
      </c>
      <c r="D32" s="369" t="str">
        <f>IF(LEFT(VLOOKUP(D7,'Utility &amp; Client Info'!C3:H101,4,FALSE),2)="PV",IF(LEFT(VLOOKUP(D7,'Utility &amp; Client Info'!C3:H101,2,FALSE),2)="No","PV Meter","PV Meter, AC Disconnect"), IF(LEFT(VLOOKUP(D7,'Utility &amp; Client Info'!C3:H101,4,FALSE),2)="AC", IF(LEFT(VLOOKUP(D7,'Utility &amp; Client Info'!C3:H101,3,FALSE),2)="No","AC Disconnect (if needed)","AC Disconnect, PV Meter")))</f>
        <v>AC Disconnect (if needed)</v>
      </c>
      <c r="E32" s="370"/>
      <c r="F32" s="370"/>
      <c r="G32" s="370"/>
      <c r="H32" s="370"/>
      <c r="I32" s="371"/>
      <c r="J32" s="220" t="str">
        <f>IF(AND(LEFT(D32,1)="A",J33="Yes",J34="Yes"),"AC Disconnect, PV Meter",IF(AND(LEFT(D32,1)="A",J33="Yes",J34="No"),"AC Disconnect",IF(AND(LEFT(D32,1)="A",J33="No",J34="No"),"N/A",IF(AND(LEFT(D32,1)="P",J33="Yes",J34="Yes"),"PV Meter, AC Disconnect",IF(AND(LEFT(D32,1)="P",J33="No",J34="Yes"),"PV Meter","Error!")))))</f>
        <v>AC Disconnect</v>
      </c>
      <c r="K32" s="62"/>
      <c r="L32" s="108"/>
      <c r="M32" s="109"/>
    </row>
    <row r="33" spans="2:13" ht="18" customHeight="1" x14ac:dyDescent="0.25">
      <c r="B33" s="129"/>
      <c r="C33" s="264" t="s">
        <v>331</v>
      </c>
      <c r="D33" s="355" t="str">
        <f>IF(D7="", "", VLOOKUP(D7, 'Utility &amp; Client Info'!C3:H101, 2, FALSE))</f>
        <v>Yes</v>
      </c>
      <c r="E33" s="356"/>
      <c r="F33" s="356"/>
      <c r="G33" s="356"/>
      <c r="H33" s="356"/>
      <c r="I33" s="357"/>
      <c r="J33" s="221" t="str">
        <f>IF(AND(LEFT(D33,1)="N",J35="No"),"No","Yes")</f>
        <v>Yes</v>
      </c>
      <c r="K33" s="62"/>
      <c r="L33" s="108"/>
      <c r="M33" s="109"/>
    </row>
    <row r="34" spans="2:13" ht="18" customHeight="1" x14ac:dyDescent="0.25">
      <c r="B34" s="129"/>
      <c r="C34" s="125" t="s">
        <v>357</v>
      </c>
      <c r="D34" s="355" t="str">
        <f>IF(D7="", "", VLOOKUP(D7, 'Utility &amp; Client Info'!C3:H101, 3, FALSE))</f>
        <v>No</v>
      </c>
      <c r="E34" s="356"/>
      <c r="F34" s="356"/>
      <c r="G34" s="356"/>
      <c r="H34" s="356"/>
      <c r="I34" s="357"/>
      <c r="J34" s="222" t="str">
        <f>IF(LEFT(D34,1)="N","No","Yes")</f>
        <v>No</v>
      </c>
      <c r="K34" s="62"/>
      <c r="L34" s="108"/>
      <c r="M34" s="109"/>
    </row>
    <row r="35" spans="2:13" ht="18" customHeight="1" x14ac:dyDescent="0.25">
      <c r="B35" s="129"/>
      <c r="C35" s="124" t="s">
        <v>367</v>
      </c>
      <c r="D35" s="358" t="str">
        <f>IF(D7="", "", VLOOKUP(D7, 'Utility &amp; Client Info'!C3:H101, 5, FALSE))</f>
        <v>No</v>
      </c>
      <c r="E35" s="359"/>
      <c r="F35" s="359"/>
      <c r="G35" s="359"/>
      <c r="H35" s="359"/>
      <c r="I35" s="360"/>
      <c r="J35" s="223" t="str">
        <f>IF(AND(D16="Yes",D23="Yes"),"No","Yes")</f>
        <v>Yes</v>
      </c>
      <c r="K35" s="186"/>
      <c r="L35" s="108"/>
      <c r="M35" s="109"/>
    </row>
    <row r="36" spans="2:13" ht="18" customHeight="1" x14ac:dyDescent="0.25">
      <c r="B36" s="129"/>
      <c r="C36" s="187" t="s">
        <v>360</v>
      </c>
      <c r="D36" s="361" t="str">
        <f>IF(D7="", "", IF(VLOOKUP(D7, 'Utility &amp; Client Info'!C3:H101, 6, FALSE) = "", "Not Required", VLOOKUP(D7, 'Utility &amp; Client Info'!C3:H101, 6, FALSE)))</f>
        <v>Yes</v>
      </c>
      <c r="E36" s="362"/>
      <c r="F36" s="362"/>
      <c r="G36" s="362"/>
      <c r="H36" s="362"/>
      <c r="I36" s="363"/>
      <c r="J36" s="62"/>
      <c r="K36" s="62"/>
      <c r="L36" s="108"/>
      <c r="M36" s="109"/>
    </row>
    <row r="37" spans="2:13" ht="18" customHeight="1" x14ac:dyDescent="0.25">
      <c r="B37" s="129"/>
      <c r="C37" s="108"/>
      <c r="D37" s="108"/>
      <c r="E37" s="108"/>
      <c r="F37" s="108"/>
      <c r="G37" s="108"/>
      <c r="H37" s="108"/>
      <c r="I37" s="108"/>
      <c r="J37" s="108"/>
      <c r="K37" s="108"/>
      <c r="L37" s="108"/>
      <c r="M37" s="109"/>
    </row>
    <row r="38" spans="2:13" ht="18" customHeight="1" x14ac:dyDescent="0.25">
      <c r="B38" s="129"/>
      <c r="C38" s="119" t="s">
        <v>380</v>
      </c>
      <c r="D38" s="108"/>
      <c r="E38" s="108"/>
      <c r="F38" s="108"/>
      <c r="G38" s="108"/>
      <c r="H38" s="108"/>
      <c r="I38" s="108"/>
      <c r="J38" s="108"/>
      <c r="K38" s="108"/>
      <c r="L38" s="108"/>
      <c r="M38" s="109"/>
    </row>
    <row r="39" spans="2:13" ht="18" customHeight="1" x14ac:dyDescent="0.25">
      <c r="B39" s="129"/>
      <c r="C39" s="108" t="s">
        <v>381</v>
      </c>
      <c r="D39" s="108"/>
      <c r="E39" s="108"/>
      <c r="F39" s="108"/>
      <c r="G39" s="108"/>
      <c r="H39" s="108"/>
      <c r="I39" s="108"/>
      <c r="J39" s="108"/>
      <c r="K39" s="108"/>
      <c r="L39" s="108"/>
      <c r="M39" s="109"/>
    </row>
    <row r="40" spans="2:13" ht="18" customHeight="1" x14ac:dyDescent="0.25">
      <c r="B40" s="129"/>
      <c r="C40" s="108" t="s">
        <v>382</v>
      </c>
      <c r="D40" s="108"/>
      <c r="E40" s="108"/>
      <c r="F40" s="108"/>
      <c r="G40" s="108"/>
      <c r="H40" s="108"/>
      <c r="I40" s="108"/>
      <c r="J40" s="108"/>
      <c r="K40" s="108"/>
      <c r="L40" s="108"/>
      <c r="M40" s="109"/>
    </row>
    <row r="41" spans="2:13" ht="18" customHeight="1" x14ac:dyDescent="0.25">
      <c r="B41" s="129"/>
      <c r="C41" s="108" t="s">
        <v>392</v>
      </c>
      <c r="D41" s="108"/>
      <c r="E41" s="108"/>
      <c r="F41" s="108"/>
      <c r="G41" s="108"/>
      <c r="H41" s="108"/>
      <c r="I41" s="108"/>
      <c r="J41" s="108"/>
      <c r="K41" s="108"/>
      <c r="L41" s="108"/>
      <c r="M41" s="109"/>
    </row>
    <row r="42" spans="2:13" ht="18" customHeight="1" x14ac:dyDescent="0.25">
      <c r="B42" s="130"/>
      <c r="C42" s="110"/>
      <c r="D42" s="110"/>
      <c r="E42" s="110"/>
      <c r="F42" s="110"/>
      <c r="G42" s="110"/>
      <c r="H42" s="110"/>
      <c r="I42" s="110"/>
      <c r="J42" s="110"/>
      <c r="K42" s="110"/>
      <c r="L42" s="110"/>
      <c r="M42" s="111"/>
    </row>
    <row r="62" spans="2:2" x14ac:dyDescent="0.25">
      <c r="B62" s="114"/>
    </row>
    <row r="63" spans="2:2" x14ac:dyDescent="0.25">
      <c r="B63" s="114"/>
    </row>
    <row r="73" spans="13:15" x14ac:dyDescent="0.25">
      <c r="M73" s="188"/>
      <c r="N73" s="188"/>
      <c r="O73" s="188"/>
    </row>
  </sheetData>
  <mergeCells count="41">
    <mergeCell ref="O12:Q12"/>
    <mergeCell ref="G25:H25"/>
    <mergeCell ref="D8:G8"/>
    <mergeCell ref="D9:I9"/>
    <mergeCell ref="H8:M8"/>
    <mergeCell ref="K15:L15"/>
    <mergeCell ref="K16:L16"/>
    <mergeCell ref="K17:L17"/>
    <mergeCell ref="D36:I36"/>
    <mergeCell ref="C31:I31"/>
    <mergeCell ref="G15:H15"/>
    <mergeCell ref="G16:H16"/>
    <mergeCell ref="G17:H17"/>
    <mergeCell ref="F28:H28"/>
    <mergeCell ref="F29:H29"/>
    <mergeCell ref="C25:D25"/>
    <mergeCell ref="G26:H26"/>
    <mergeCell ref="G27:H27"/>
    <mergeCell ref="D32:I32"/>
    <mergeCell ref="D33:I33"/>
    <mergeCell ref="D35:I35"/>
    <mergeCell ref="Q4:Q6"/>
    <mergeCell ref="H6:L6"/>
    <mergeCell ref="J11:K11"/>
    <mergeCell ref="J21:K21"/>
    <mergeCell ref="F18:H18"/>
    <mergeCell ref="J18:L18"/>
    <mergeCell ref="J19:L19"/>
    <mergeCell ref="F19:H19"/>
    <mergeCell ref="C17:D17"/>
    <mergeCell ref="H7:M7"/>
    <mergeCell ref="L12:L14"/>
    <mergeCell ref="D34:I34"/>
    <mergeCell ref="H12:H14"/>
    <mergeCell ref="H22:H24"/>
    <mergeCell ref="F21:G21"/>
    <mergeCell ref="C3:D3"/>
    <mergeCell ref="D6:G6"/>
    <mergeCell ref="D7:G7"/>
    <mergeCell ref="C11:D11"/>
    <mergeCell ref="F11:G11"/>
  </mergeCells>
  <conditionalFormatting sqref="B45:B72 B35:B39">
    <cfRule type="containsText" dxfId="22" priority="4" operator="containsText" text="Yes">
      <formula>NOT(ISERROR(SEARCH("Yes",B35)))</formula>
    </cfRule>
  </conditionalFormatting>
  <conditionalFormatting sqref="M73:O73">
    <cfRule type="expression" dxfId="21" priority="5">
      <formula>#REF!&gt;#REF!</formula>
    </cfRule>
  </conditionalFormatting>
  <conditionalFormatting sqref="D15:D16">
    <cfRule type="expression" dxfId="20" priority="6">
      <formula>IF(AND($D$14&lt;&gt;"", $D$15&lt;&gt;""), $D$14&gt;$D$15, "")</formula>
    </cfRule>
  </conditionalFormatting>
  <conditionalFormatting sqref="L12:L14 H12:H14">
    <cfRule type="expression" dxfId="19" priority="3">
      <formula>$H$12+$L$12+$H$22=$D$13</formula>
    </cfRule>
  </conditionalFormatting>
  <conditionalFormatting sqref="H22:H24">
    <cfRule type="expression" dxfId="18" priority="1">
      <formula>$H$12+$L$12+$H$22=$D$13</formula>
    </cfRule>
  </conditionalFormatting>
  <dataValidations count="3">
    <dataValidation type="list" allowBlank="1" showInputMessage="1" showErrorMessage="1" sqref="D7" xr:uid="{19F4F6E9-B78A-4F06-9487-DA94D80F14AC}">
      <formula1>INDIRECT(D5)</formula1>
    </dataValidation>
    <dataValidation type="list" allowBlank="1" showInputMessage="1" showErrorMessage="1" sqref="D16 P4:P10" xr:uid="{4E356190-02B5-48E6-AE1C-78767B18E8D6}">
      <formula1>"Yes, No"</formula1>
    </dataValidation>
    <dataValidation type="list" allowBlank="1" showInputMessage="1" showErrorMessage="1" sqref="D8:G8" xr:uid="{531AAFA9-37A6-4344-B804-45FEA987E15C}">
      <formula1>"2017, 2014, 2011"</formula1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3EB27BF-9136-4EEF-B92D-11828ECAEC19}">
          <x14:formula1>
            <xm:f>Panels!$B$4:$B$103</xm:f>
          </x14:formula1>
          <xm:sqref>D12</xm:sqref>
        </x14:dataValidation>
        <x14:dataValidation type="list" allowBlank="1" showInputMessage="1" showErrorMessage="1" xr:uid="{223F885A-987B-4637-8AC0-2C3384DEA85F}">
          <x14:formula1>
            <xm:f>'Utility &amp; Client Info'!$L$4:$L$53</xm:f>
          </x14:formula1>
          <xm:sqref>D5</xm:sqref>
        </x14:dataValidation>
        <x14:dataValidation type="list" allowBlank="1" showInputMessage="1" showErrorMessage="1" xr:uid="{D2B31712-9F0B-414C-A396-33C247C9F30D}">
          <x14:formula1>
            <xm:f>Inverters!$B$15:$B$28</xm:f>
          </x14:formula1>
          <xm:sqref>G15 K15 G25</xm:sqref>
        </x14:dataValidation>
        <x14:dataValidation type="list" allowBlank="1" showInputMessage="1" showErrorMessage="1" xr:uid="{0F77F1F8-2BDD-469A-BAC7-8F6DA658720C}">
          <x14:formula1>
            <xm:f>'Utility &amp; Client Info'!$Y$3:$Y$10</xm:f>
          </x14:formula1>
          <xm:sqref>D4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4CA1E3-251F-436F-B445-2B0C072E54DF}">
  <sheetPr codeName="Sheet13">
    <tabColor rgb="FFFFFF00"/>
  </sheetPr>
  <dimension ref="B2:Y94"/>
  <sheetViews>
    <sheetView zoomScale="80" zoomScaleNormal="80" workbookViewId="0"/>
  </sheetViews>
  <sheetFormatPr defaultRowHeight="15" customHeight="1" x14ac:dyDescent="0.2"/>
  <cols>
    <col min="1" max="1" width="5.7109375" style="1" customWidth="1"/>
    <col min="2" max="4" width="9.140625" style="1"/>
    <col min="5" max="5" width="12.140625" style="1" customWidth="1"/>
    <col min="6" max="6" width="10.42578125" style="1" customWidth="1"/>
    <col min="7" max="7" width="17" style="1" customWidth="1"/>
    <col min="8" max="17" width="10.7109375" style="1" customWidth="1"/>
    <col min="18" max="18" width="14" style="1" customWidth="1"/>
    <col min="19" max="19" width="19.5703125" style="1" customWidth="1"/>
    <col min="20" max="21" width="10.7109375" style="1" customWidth="1"/>
    <col min="22" max="22" width="9.140625" style="1"/>
    <col min="23" max="23" width="5.7109375" style="1" customWidth="1"/>
    <col min="24" max="24" width="30.7109375" style="1" bestFit="1" customWidth="1"/>
    <col min="25" max="25" width="35" style="1" bestFit="1" customWidth="1"/>
    <col min="26" max="16384" width="9.140625" style="1"/>
  </cols>
  <sheetData>
    <row r="2" spans="2:25" ht="15" customHeight="1" x14ac:dyDescent="0.2">
      <c r="B2" s="398" t="s">
        <v>572</v>
      </c>
      <c r="C2" s="400"/>
      <c r="D2" s="400"/>
      <c r="E2" s="400"/>
      <c r="F2" s="400"/>
      <c r="G2" s="400"/>
      <c r="H2" s="400"/>
      <c r="I2" s="400"/>
      <c r="J2" s="400"/>
      <c r="K2" s="400"/>
      <c r="L2" s="400"/>
      <c r="M2" s="400"/>
      <c r="N2" s="400"/>
      <c r="O2" s="400"/>
      <c r="P2" s="400"/>
      <c r="Q2" s="400"/>
      <c r="R2" s="400"/>
      <c r="S2" s="400"/>
      <c r="T2" s="400"/>
      <c r="U2" s="400"/>
      <c r="V2" s="399"/>
      <c r="X2" s="584" t="s">
        <v>278</v>
      </c>
      <c r="Y2" s="584"/>
    </row>
    <row r="3" spans="2:25" ht="15" customHeight="1" x14ac:dyDescent="0.2">
      <c r="B3" s="410"/>
      <c r="C3" s="411"/>
      <c r="D3" s="411"/>
      <c r="E3" s="411"/>
      <c r="F3" s="411"/>
      <c r="G3" s="411"/>
      <c r="H3" s="411"/>
      <c r="I3" s="411"/>
      <c r="J3" s="411"/>
      <c r="K3" s="411"/>
      <c r="L3" s="411"/>
      <c r="M3" s="411"/>
      <c r="N3" s="411"/>
      <c r="O3" s="411"/>
      <c r="P3" s="411"/>
      <c r="Q3" s="411"/>
      <c r="R3" s="411"/>
      <c r="S3" s="411"/>
      <c r="T3" s="411"/>
      <c r="U3" s="411"/>
      <c r="V3" s="412"/>
      <c r="X3" s="276" t="s">
        <v>525</v>
      </c>
      <c r="Y3" s="278" t="str">
        <f>VLOOKUP('3 Inv Input'!D7,'Utility &amp; Client Info'!C3:I101,7,FALSE)</f>
        <v>BG&amp;E</v>
      </c>
    </row>
    <row r="4" spans="2:25" ht="15" customHeight="1" x14ac:dyDescent="0.2">
      <c r="B4" s="440"/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8"/>
      <c r="X4" s="273" t="s">
        <v>279</v>
      </c>
      <c r="Y4" s="274">
        <f>'3 Inv Calcs'!CD11</f>
        <v>37.5</v>
      </c>
    </row>
    <row r="5" spans="2:25" ht="15" customHeight="1" x14ac:dyDescent="0.2">
      <c r="B5" s="440"/>
      <c r="C5" s="401" t="s">
        <v>98</v>
      </c>
      <c r="D5" s="402"/>
      <c r="E5" s="402"/>
      <c r="F5" s="402"/>
      <c r="G5" s="402"/>
      <c r="H5" s="402"/>
      <c r="I5" s="402"/>
      <c r="J5" s="402"/>
      <c r="K5" s="402"/>
      <c r="L5" s="402"/>
      <c r="M5" s="402"/>
      <c r="N5" s="402"/>
      <c r="O5" s="402"/>
      <c r="P5" s="403"/>
      <c r="Q5" s="25"/>
      <c r="R5" s="25"/>
      <c r="S5" s="25"/>
      <c r="T5" s="25"/>
      <c r="U5" s="25"/>
      <c r="V5" s="28"/>
      <c r="X5" s="273" t="s">
        <v>643</v>
      </c>
      <c r="Y5" s="274">
        <f>'3 Inv Input'!D14</f>
        <v>1</v>
      </c>
    </row>
    <row r="6" spans="2:25" ht="15" customHeight="1" x14ac:dyDescent="0.2">
      <c r="B6" s="440"/>
      <c r="C6" s="401"/>
      <c r="D6" s="402"/>
      <c r="E6" s="402"/>
      <c r="F6" s="402"/>
      <c r="G6" s="403"/>
      <c r="H6" s="401" t="s">
        <v>581</v>
      </c>
      <c r="I6" s="402"/>
      <c r="J6" s="403"/>
      <c r="K6" s="401" t="s">
        <v>582</v>
      </c>
      <c r="L6" s="402"/>
      <c r="M6" s="403"/>
      <c r="N6" s="401" t="s">
        <v>657</v>
      </c>
      <c r="O6" s="402"/>
      <c r="P6" s="403"/>
      <c r="Q6" s="94"/>
      <c r="R6" s="94"/>
      <c r="S6" s="94"/>
      <c r="T6" s="94"/>
      <c r="U6" s="94"/>
      <c r="V6" s="28"/>
      <c r="X6" s="273" t="s">
        <v>642</v>
      </c>
      <c r="Y6" s="279">
        <f>'3 Inv Input'!D15</f>
        <v>1</v>
      </c>
    </row>
    <row r="7" spans="2:25" ht="15" customHeight="1" x14ac:dyDescent="0.2">
      <c r="B7" s="440"/>
      <c r="C7" s="401"/>
      <c r="D7" s="402"/>
      <c r="E7" s="402"/>
      <c r="F7" s="402"/>
      <c r="G7" s="403"/>
      <c r="H7" s="97" t="s">
        <v>135</v>
      </c>
      <c r="I7" s="97" t="s">
        <v>216</v>
      </c>
      <c r="J7" s="97" t="s">
        <v>217</v>
      </c>
      <c r="K7" s="97" t="s">
        <v>135</v>
      </c>
      <c r="L7" s="97" t="s">
        <v>216</v>
      </c>
      <c r="M7" s="97" t="s">
        <v>217</v>
      </c>
      <c r="N7" s="97" t="s">
        <v>135</v>
      </c>
      <c r="O7" s="97" t="s">
        <v>216</v>
      </c>
      <c r="P7" s="97" t="s">
        <v>217</v>
      </c>
      <c r="Q7" s="94"/>
      <c r="R7" s="94"/>
      <c r="S7" s="94"/>
      <c r="T7" s="94"/>
      <c r="U7" s="94"/>
      <c r="V7" s="28"/>
      <c r="X7" s="273" t="s">
        <v>275</v>
      </c>
      <c r="Y7" s="274">
        <f>LOOKUP('3 Inv Calcs'!AX19,1/('3 Inv Calcs'!AB8:AB44&lt;='3 Inv Calcs'!AX19)/('3 Inv Calcs'!AC8:AC44&gt;='3 Inv Calcs'!AX19),'3 Inv Calcs'!AA8:AA44)</f>
        <v>50</v>
      </c>
    </row>
    <row r="8" spans="2:25" ht="15" customHeight="1" x14ac:dyDescent="0.2">
      <c r="B8" s="440"/>
      <c r="C8" s="626" t="s">
        <v>137</v>
      </c>
      <c r="D8" s="627"/>
      <c r="E8" s="627"/>
      <c r="F8" s="627"/>
      <c r="G8" s="628"/>
      <c r="H8" s="97" t="str">
        <f>IF(H9="N/A","N/A",$K$20)</f>
        <v>15A</v>
      </c>
      <c r="I8" s="97" t="str">
        <f t="shared" ref="I8:P8" si="0">IF(I9="N/A","N/A",$K$20)</f>
        <v>N/A</v>
      </c>
      <c r="J8" s="97" t="str">
        <f t="shared" si="0"/>
        <v>N/A</v>
      </c>
      <c r="K8" s="97" t="str">
        <f t="shared" si="0"/>
        <v>15A</v>
      </c>
      <c r="L8" s="97" t="str">
        <f t="shared" si="0"/>
        <v>N/A</v>
      </c>
      <c r="M8" s="97" t="str">
        <f t="shared" si="0"/>
        <v>N/A</v>
      </c>
      <c r="N8" s="97" t="str">
        <f t="shared" si="0"/>
        <v>15A</v>
      </c>
      <c r="O8" s="97" t="str">
        <f t="shared" si="0"/>
        <v>N/A</v>
      </c>
      <c r="P8" s="97" t="str">
        <f t="shared" si="0"/>
        <v>N/A</v>
      </c>
      <c r="Q8" s="25"/>
      <c r="R8" s="401" t="str">
        <f>CONCATENATE("SOLAREDGE MAX STRING SIZE (FOR ",H16," PANEL)")</f>
        <v>SOLAREDGE MAX STRING SIZE (FOR 300W PANEL)</v>
      </c>
      <c r="S8" s="402"/>
      <c r="T8" s="402"/>
      <c r="U8" s="403"/>
      <c r="V8" s="28"/>
      <c r="X8" s="273" t="s">
        <v>276</v>
      </c>
      <c r="Y8" s="274">
        <f>LOOKUP('3 Inv Calcs'!AX19,1/('3 Inv Calcs'!AB52:AB58&lt;='3 Inv Calcs'!AX19)/('3 Inv Calcs'!AC52:AC58&gt;='3 Inv Calcs'!AX19),'3 Inv Calcs'!AA52:AA58)</f>
        <v>60</v>
      </c>
    </row>
    <row r="9" spans="2:25" ht="15" customHeight="1" x14ac:dyDescent="0.2">
      <c r="B9" s="440"/>
      <c r="C9" s="626" t="s">
        <v>142</v>
      </c>
      <c r="D9" s="627"/>
      <c r="E9" s="627"/>
      <c r="F9" s="627"/>
      <c r="G9" s="628"/>
      <c r="H9" s="97">
        <f>'3 Inv Input'!G12</f>
        <v>1</v>
      </c>
      <c r="I9" s="97" t="str">
        <f>'3 Inv Input'!G13</f>
        <v>N/A</v>
      </c>
      <c r="J9" s="97" t="str">
        <f>'3 Inv Input'!G14</f>
        <v>N/A</v>
      </c>
      <c r="K9" s="97">
        <f>'3 Inv Input'!K12</f>
        <v>1</v>
      </c>
      <c r="L9" s="97" t="str">
        <f>'3 Inv Input'!K13</f>
        <v>N/A</v>
      </c>
      <c r="M9" s="97" t="str">
        <f>'3 Inv Input'!K14</f>
        <v>N/A</v>
      </c>
      <c r="N9" s="97">
        <f>'3 Inv Input'!G22</f>
        <v>1</v>
      </c>
      <c r="O9" s="97" t="str">
        <f>'3 Inv Input'!G23</f>
        <v>N/A</v>
      </c>
      <c r="P9" s="97" t="str">
        <f>'3 Inv Input'!G24</f>
        <v>N/A</v>
      </c>
      <c r="Q9" s="25"/>
      <c r="R9" s="97" t="s">
        <v>660</v>
      </c>
      <c r="S9" s="97" t="s">
        <v>147</v>
      </c>
      <c r="T9" s="401" t="s">
        <v>155</v>
      </c>
      <c r="U9" s="403"/>
      <c r="V9" s="28"/>
      <c r="X9" s="273" t="s">
        <v>125</v>
      </c>
      <c r="Y9" s="274" t="str">
        <f>'3 Inv Input'!D19</f>
        <v>P320</v>
      </c>
    </row>
    <row r="10" spans="2:25" ht="15" customHeight="1" x14ac:dyDescent="0.2">
      <c r="B10" s="440"/>
      <c r="C10" s="626" t="s">
        <v>146</v>
      </c>
      <c r="D10" s="627"/>
      <c r="E10" s="627"/>
      <c r="F10" s="627"/>
      <c r="G10" s="628"/>
      <c r="H10" s="401" t="str">
        <f>CONCATENATE(SUM(H9:J9)*LEFT(H16,3),"W")</f>
        <v>300W</v>
      </c>
      <c r="I10" s="402"/>
      <c r="J10" s="403"/>
      <c r="K10" s="401" t="str">
        <f>CONCATENATE(SUM(K9:M9)*LEFT(H16,3),"W")</f>
        <v>300W</v>
      </c>
      <c r="L10" s="402"/>
      <c r="M10" s="403"/>
      <c r="N10" s="401" t="str">
        <f>CONCATENATE(SUM(N9:P9)*LEFT(H16,3),"W")</f>
        <v>300W</v>
      </c>
      <c r="O10" s="402"/>
      <c r="P10" s="403"/>
      <c r="Q10" s="25"/>
      <c r="R10" s="97" t="str">
        <f>'3 Inv Calcs'!BS6</f>
        <v>SE3000H-US</v>
      </c>
      <c r="S10" s="97" t="str">
        <f>CONCATENATE(VLOOKUP('3 Inv Calcs'!BS6,'3 Inv Calcs'!$BS$23:$BT$36,2,FALSE),"W")</f>
        <v>5700W</v>
      </c>
      <c r="T10" s="401">
        <f>ROUNDDOWN(LEFT(S10,4)/(LEFT(H16,3)),0)</f>
        <v>19</v>
      </c>
      <c r="U10" s="403"/>
      <c r="V10" s="28"/>
      <c r="X10" s="273" t="s">
        <v>644</v>
      </c>
      <c r="Y10" s="274" t="str">
        <f>'3 Inv Input'!G15</f>
        <v>SE3000H-US</v>
      </c>
    </row>
    <row r="11" spans="2:25" ht="15" customHeight="1" x14ac:dyDescent="0.2">
      <c r="B11" s="440"/>
      <c r="C11" s="626" t="s">
        <v>100</v>
      </c>
      <c r="D11" s="627"/>
      <c r="E11" s="627"/>
      <c r="F11" s="627"/>
      <c r="G11" s="628"/>
      <c r="H11" s="401" t="str">
        <f>N25</f>
        <v>12.5A</v>
      </c>
      <c r="I11" s="402"/>
      <c r="J11" s="403"/>
      <c r="K11" s="401" t="str">
        <f>N26</f>
        <v>12.5A</v>
      </c>
      <c r="L11" s="402"/>
      <c r="M11" s="403"/>
      <c r="N11" s="401" t="str">
        <f>N27</f>
        <v>12.5A</v>
      </c>
      <c r="O11" s="402"/>
      <c r="P11" s="403"/>
      <c r="Q11" s="25"/>
      <c r="R11" s="97" t="str">
        <f>'3 Inv Calcs'!BW6</f>
        <v>SE3000H-US</v>
      </c>
      <c r="S11" s="97" t="str">
        <f>CONCATENATE(VLOOKUP('3 Inv Calcs'!BW6,'3 Inv Calcs'!$BS$23:$BT$36,2,FALSE),"W")</f>
        <v>5700W</v>
      </c>
      <c r="T11" s="401">
        <f>ROUNDDOWN(LEFT(S11,4)/(LEFT(H16,3)),0)</f>
        <v>19</v>
      </c>
      <c r="U11" s="403"/>
      <c r="V11" s="28"/>
      <c r="X11" s="273" t="s">
        <v>645</v>
      </c>
      <c r="Y11" s="274" t="str">
        <f>'3 Inv Input'!K15</f>
        <v>SE3000H-US</v>
      </c>
    </row>
    <row r="12" spans="2:25" ht="15" customHeight="1" x14ac:dyDescent="0.2">
      <c r="B12" s="440"/>
      <c r="C12" s="626" t="s">
        <v>154</v>
      </c>
      <c r="D12" s="627"/>
      <c r="E12" s="627"/>
      <c r="F12" s="627"/>
      <c r="G12" s="628"/>
      <c r="H12" s="401" t="str">
        <f>L25</f>
        <v>3000W</v>
      </c>
      <c r="I12" s="402"/>
      <c r="J12" s="403"/>
      <c r="K12" s="401" t="str">
        <f>L26</f>
        <v>3000W</v>
      </c>
      <c r="L12" s="402"/>
      <c r="M12" s="403"/>
      <c r="N12" s="401" t="str">
        <f>L27</f>
        <v>3000W</v>
      </c>
      <c r="O12" s="402"/>
      <c r="P12" s="403"/>
      <c r="Q12" s="25"/>
      <c r="R12" s="97" t="str">
        <f>'3 Inv Calcs'!CA6</f>
        <v>SE3000H-US</v>
      </c>
      <c r="S12" s="97" t="str">
        <f>CONCATENATE(VLOOKUP('3 Inv Calcs'!CA6,'3 Inv Calcs'!$BS$23:$BT$36,2,FALSE),"W")</f>
        <v>5700W</v>
      </c>
      <c r="T12" s="401">
        <f>ROUNDDOWN(LEFT(S12,4)/(LEFT(H16,3)),0)</f>
        <v>19</v>
      </c>
      <c r="U12" s="403"/>
      <c r="V12" s="28"/>
      <c r="X12" s="273" t="s">
        <v>667</v>
      </c>
      <c r="Y12" s="274" t="str">
        <f>'3 Inv Input'!G25</f>
        <v>SE3000H-US</v>
      </c>
    </row>
    <row r="13" spans="2:25" ht="15" customHeight="1" x14ac:dyDescent="0.2">
      <c r="B13" s="440"/>
      <c r="C13" s="26"/>
      <c r="D13" s="26"/>
      <c r="E13" s="26"/>
      <c r="F13" s="26"/>
      <c r="G13" s="26"/>
      <c r="H13" s="26"/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8"/>
      <c r="X13" s="273" t="s">
        <v>272</v>
      </c>
      <c r="Y13" s="274">
        <f>'3 Inv Input'!G12</f>
        <v>1</v>
      </c>
    </row>
    <row r="14" spans="2:25" ht="15" customHeight="1" x14ac:dyDescent="0.2">
      <c r="B14" s="440"/>
      <c r="C14" s="401" t="s">
        <v>162</v>
      </c>
      <c r="D14" s="402"/>
      <c r="E14" s="402"/>
      <c r="F14" s="402"/>
      <c r="G14" s="402"/>
      <c r="H14" s="402"/>
      <c r="I14" s="402"/>
      <c r="J14" s="402"/>
      <c r="K14" s="402"/>
      <c r="L14" s="402"/>
      <c r="M14" s="402"/>
      <c r="N14" s="402"/>
      <c r="O14" s="402"/>
      <c r="P14" s="402"/>
      <c r="Q14" s="402"/>
      <c r="R14" s="402"/>
      <c r="S14" s="402"/>
      <c r="T14" s="402"/>
      <c r="U14" s="403"/>
      <c r="V14" s="28"/>
      <c r="X14" s="273" t="s">
        <v>273</v>
      </c>
      <c r="Y14" s="274" t="str">
        <f>'3 Inv Input'!G13</f>
        <v>N/A</v>
      </c>
    </row>
    <row r="15" spans="2:25" ht="15" customHeight="1" x14ac:dyDescent="0.2">
      <c r="B15" s="440"/>
      <c r="C15" s="401" t="s">
        <v>218</v>
      </c>
      <c r="D15" s="403"/>
      <c r="E15" s="401" t="s">
        <v>101</v>
      </c>
      <c r="F15" s="402"/>
      <c r="G15" s="403"/>
      <c r="H15" s="401" t="s">
        <v>165</v>
      </c>
      <c r="I15" s="403"/>
      <c r="J15" s="401" t="s">
        <v>166</v>
      </c>
      <c r="K15" s="403"/>
      <c r="L15" s="401" t="s">
        <v>167</v>
      </c>
      <c r="M15" s="403"/>
      <c r="N15" s="401" t="s">
        <v>168</v>
      </c>
      <c r="O15" s="403"/>
      <c r="P15" s="401" t="s">
        <v>169</v>
      </c>
      <c r="Q15" s="403"/>
      <c r="R15" s="401" t="s">
        <v>170</v>
      </c>
      <c r="S15" s="403"/>
      <c r="T15" s="401" t="s">
        <v>171</v>
      </c>
      <c r="U15" s="403"/>
      <c r="V15" s="28"/>
      <c r="X15" s="273" t="s">
        <v>274</v>
      </c>
      <c r="Y15" s="274" t="str">
        <f>'3 Inv Input'!G14</f>
        <v>N/A</v>
      </c>
    </row>
    <row r="16" spans="2:25" ht="15" customHeight="1" x14ac:dyDescent="0.2">
      <c r="B16" s="440"/>
      <c r="C16" s="401">
        <f>SUM(H9:P9)</f>
        <v>3</v>
      </c>
      <c r="D16" s="403"/>
      <c r="E16" s="401" t="str">
        <f>'3 Inv Input'!D12</f>
        <v>HANWHA Q.PEAK-G4.1 300W</v>
      </c>
      <c r="F16" s="402"/>
      <c r="G16" s="403"/>
      <c r="H16" s="397" t="str">
        <f>VLOOKUP(E16,Panels!$B$4:$I$103,2,FALSE)</f>
        <v>300W</v>
      </c>
      <c r="I16" s="397"/>
      <c r="J16" s="397" t="str">
        <f>VLOOKUP(E16,Panels!$B$4:$I$103,3,FALSE)</f>
        <v>9.77A</v>
      </c>
      <c r="K16" s="397"/>
      <c r="L16" s="397" t="str">
        <f>VLOOKUP(E16,Panels!$B$4:$I$103,4,FALSE)</f>
        <v>9.26A</v>
      </c>
      <c r="M16" s="397"/>
      <c r="N16" s="397" t="str">
        <f>VLOOKUP(E16,Panels!$B$4:$I$103,5,FALSE)</f>
        <v>39.76V</v>
      </c>
      <c r="O16" s="397"/>
      <c r="P16" s="397" t="str">
        <f>VLOOKUP(E16,Panels!$B$4:$I$103,6,FALSE)</f>
        <v>32.41V</v>
      </c>
      <c r="Q16" s="397"/>
      <c r="R16" s="397" t="str">
        <f>VLOOKUP(E16,Panels!$B$4:$I$103,7,FALSE)</f>
        <v>-0.28%/°C</v>
      </c>
      <c r="S16" s="397"/>
      <c r="T16" s="397" t="str">
        <f>VLOOKUP(E16,Panels!$B$4:$I$103,8,FALSE)</f>
        <v>20A</v>
      </c>
      <c r="U16" s="397"/>
      <c r="V16" s="28"/>
      <c r="X16" s="273" t="s">
        <v>646</v>
      </c>
      <c r="Y16" s="274">
        <f>'3 Inv Input'!K12</f>
        <v>1</v>
      </c>
    </row>
    <row r="17" spans="2:25" ht="15" customHeight="1" x14ac:dyDescent="0.2">
      <c r="B17" s="440"/>
      <c r="C17" s="27"/>
      <c r="D17" s="27"/>
      <c r="E17" s="27"/>
      <c r="F17" s="27"/>
      <c r="G17" s="27"/>
      <c r="H17" s="27"/>
      <c r="I17" s="27"/>
      <c r="J17" s="27"/>
      <c r="K17" s="27"/>
      <c r="L17" s="27"/>
      <c r="M17" s="27"/>
      <c r="N17" s="27"/>
      <c r="O17" s="27"/>
      <c r="P17" s="27"/>
      <c r="Q17" s="27"/>
      <c r="R17" s="27"/>
      <c r="S17" s="27"/>
      <c r="T17" s="27"/>
      <c r="U17" s="27"/>
      <c r="V17" s="28"/>
      <c r="X17" s="273" t="s">
        <v>647</v>
      </c>
      <c r="Y17" s="274" t="str">
        <f>'3 Inv Input'!K13</f>
        <v>N/A</v>
      </c>
    </row>
    <row r="18" spans="2:25" ht="15" customHeight="1" x14ac:dyDescent="0.2">
      <c r="B18" s="440"/>
      <c r="C18" s="401" t="s">
        <v>177</v>
      </c>
      <c r="D18" s="402"/>
      <c r="E18" s="402"/>
      <c r="F18" s="402"/>
      <c r="G18" s="402"/>
      <c r="H18" s="402"/>
      <c r="I18" s="402"/>
      <c r="J18" s="402"/>
      <c r="K18" s="402"/>
      <c r="L18" s="402"/>
      <c r="M18" s="402"/>
      <c r="N18" s="402"/>
      <c r="O18" s="402"/>
      <c r="P18" s="402"/>
      <c r="Q18" s="402"/>
      <c r="R18" s="402"/>
      <c r="S18" s="402"/>
      <c r="T18" s="402"/>
      <c r="U18" s="403"/>
      <c r="V18" s="28"/>
      <c r="X18" s="273" t="s">
        <v>648</v>
      </c>
      <c r="Y18" s="274" t="str">
        <f>'3 Inv Input'!K14</f>
        <v>N/A</v>
      </c>
    </row>
    <row r="19" spans="2:25" ht="15" customHeight="1" x14ac:dyDescent="0.2">
      <c r="B19" s="440"/>
      <c r="C19" s="401" t="s">
        <v>218</v>
      </c>
      <c r="D19" s="403"/>
      <c r="E19" s="401" t="s">
        <v>101</v>
      </c>
      <c r="F19" s="402"/>
      <c r="G19" s="403"/>
      <c r="H19" s="401" t="s">
        <v>178</v>
      </c>
      <c r="I19" s="402"/>
      <c r="J19" s="403"/>
      <c r="K19" s="432" t="s">
        <v>99</v>
      </c>
      <c r="L19" s="433"/>
      <c r="M19" s="434"/>
      <c r="N19" s="401" t="s">
        <v>179</v>
      </c>
      <c r="O19" s="402"/>
      <c r="P19" s="403"/>
      <c r="Q19" s="401" t="s">
        <v>180</v>
      </c>
      <c r="R19" s="403"/>
      <c r="S19" s="401" t="s">
        <v>181</v>
      </c>
      <c r="T19" s="402"/>
      <c r="U19" s="403"/>
      <c r="V19" s="28"/>
      <c r="X19" s="273" t="s">
        <v>668</v>
      </c>
      <c r="Y19" s="274">
        <f>'3 Inv Input'!G22</f>
        <v>1</v>
      </c>
    </row>
    <row r="20" spans="2:25" ht="15" customHeight="1" x14ac:dyDescent="0.2">
      <c r="B20" s="440"/>
      <c r="C20" s="401">
        <f>SUM(H9:P9)</f>
        <v>3</v>
      </c>
      <c r="D20" s="403"/>
      <c r="E20" s="401" t="str">
        <f>'3 Inv Calcs'!BO21</f>
        <v>SOLAREDGE P320</v>
      </c>
      <c r="F20" s="402"/>
      <c r="G20" s="403"/>
      <c r="H20" s="401" t="str">
        <f>CONCATENATE('3 Inv Calcs'!BO8,"W")</f>
        <v>320W</v>
      </c>
      <c r="I20" s="402"/>
      <c r="J20" s="403"/>
      <c r="K20" s="401" t="str">
        <f>CONCATENATE('3 Inv Calcs'!CD3,"A")</f>
        <v>15A</v>
      </c>
      <c r="L20" s="402"/>
      <c r="M20" s="403"/>
      <c r="N20" s="401" t="str">
        <f>CONCATENATE('3 Inv Calcs'!BO12,"A")</f>
        <v>11A</v>
      </c>
      <c r="O20" s="402"/>
      <c r="P20" s="403"/>
      <c r="Q20" s="401" t="str">
        <f>CONCATENATE('3 Inv Calcs'!BO9,"V")</f>
        <v>48V</v>
      </c>
      <c r="R20" s="403"/>
      <c r="S20" s="629">
        <f>'3 Inv Calcs'!BO15/100</f>
        <v>0.98799999999999999</v>
      </c>
      <c r="T20" s="630"/>
      <c r="U20" s="631"/>
      <c r="V20" s="28"/>
      <c r="X20" s="273" t="s">
        <v>669</v>
      </c>
      <c r="Y20" s="274" t="str">
        <f>'3 Inv Input'!G23</f>
        <v>N/A</v>
      </c>
    </row>
    <row r="21" spans="2:25" ht="15" customHeight="1" x14ac:dyDescent="0.2">
      <c r="B21" s="440"/>
      <c r="C21" s="27"/>
      <c r="D21" s="27"/>
      <c r="E21" s="27"/>
      <c r="F21" s="27"/>
      <c r="G21" s="27"/>
      <c r="H21" s="27"/>
      <c r="I21" s="27"/>
      <c r="J21" s="27"/>
      <c r="K21" s="27"/>
      <c r="L21" s="27"/>
      <c r="M21" s="27"/>
      <c r="N21" s="27"/>
      <c r="O21" s="27"/>
      <c r="P21" s="27"/>
      <c r="Q21" s="27"/>
      <c r="R21" s="27"/>
      <c r="S21" s="27"/>
      <c r="T21" s="27"/>
      <c r="U21" s="27"/>
      <c r="V21" s="28"/>
      <c r="X21" s="273" t="s">
        <v>670</v>
      </c>
      <c r="Y21" s="274" t="str">
        <f>'3 Inv Input'!G24</f>
        <v>N/A</v>
      </c>
    </row>
    <row r="22" spans="2:25" ht="15" customHeight="1" x14ac:dyDescent="0.2">
      <c r="B22" s="440"/>
      <c r="C22" s="401" t="s">
        <v>183</v>
      </c>
      <c r="D22" s="402"/>
      <c r="E22" s="402"/>
      <c r="F22" s="402"/>
      <c r="G22" s="402"/>
      <c r="H22" s="402"/>
      <c r="I22" s="402"/>
      <c r="J22" s="402"/>
      <c r="K22" s="402"/>
      <c r="L22" s="402"/>
      <c r="M22" s="402"/>
      <c r="N22" s="402"/>
      <c r="O22" s="402"/>
      <c r="P22" s="402"/>
      <c r="Q22" s="402"/>
      <c r="R22" s="402"/>
      <c r="S22" s="402"/>
      <c r="T22" s="402"/>
      <c r="U22" s="403"/>
      <c r="V22" s="28"/>
      <c r="X22" s="273" t="s">
        <v>649</v>
      </c>
      <c r="Y22" s="279">
        <f>IF('3 Inv Calcs'!CE11&gt;100,200,100)</f>
        <v>100</v>
      </c>
    </row>
    <row r="23" spans="2:25" ht="15" customHeight="1" x14ac:dyDescent="0.2">
      <c r="B23" s="440"/>
      <c r="C23" s="632" t="s">
        <v>218</v>
      </c>
      <c r="D23" s="633"/>
      <c r="E23" s="632" t="s">
        <v>101</v>
      </c>
      <c r="F23" s="636"/>
      <c r="G23" s="633"/>
      <c r="H23" s="632" t="s">
        <v>102</v>
      </c>
      <c r="I23" s="633"/>
      <c r="J23" s="632" t="s">
        <v>184</v>
      </c>
      <c r="K23" s="633"/>
      <c r="L23" s="638" t="s">
        <v>185</v>
      </c>
      <c r="M23" s="639"/>
      <c r="N23" s="638" t="s">
        <v>99</v>
      </c>
      <c r="O23" s="639"/>
      <c r="P23" s="638" t="s">
        <v>186</v>
      </c>
      <c r="Q23" s="639"/>
      <c r="R23" s="638" t="s">
        <v>187</v>
      </c>
      <c r="S23" s="639"/>
      <c r="T23" s="638" t="s">
        <v>188</v>
      </c>
      <c r="U23" s="639"/>
      <c r="V23" s="28"/>
      <c r="X23" s="273" t="s">
        <v>650</v>
      </c>
      <c r="Y23" s="35" t="str">
        <f>LEFT(E31,LEN(E31)-1)</f>
        <v>20</v>
      </c>
    </row>
    <row r="24" spans="2:25" ht="15" customHeight="1" x14ac:dyDescent="0.2">
      <c r="B24" s="440"/>
      <c r="C24" s="634"/>
      <c r="D24" s="635"/>
      <c r="E24" s="634"/>
      <c r="F24" s="637"/>
      <c r="G24" s="635"/>
      <c r="H24" s="634"/>
      <c r="I24" s="635"/>
      <c r="J24" s="634"/>
      <c r="K24" s="635"/>
      <c r="L24" s="640"/>
      <c r="M24" s="641"/>
      <c r="N24" s="640"/>
      <c r="O24" s="641"/>
      <c r="P24" s="640"/>
      <c r="Q24" s="641"/>
      <c r="R24" s="640"/>
      <c r="S24" s="641"/>
      <c r="T24" s="640"/>
      <c r="U24" s="641"/>
      <c r="V24" s="28"/>
      <c r="X24" s="273" t="s">
        <v>651</v>
      </c>
      <c r="Y24" s="35" t="str">
        <f t="shared" ref="Y24:Y25" si="1">LEFT(E32,LEN(E32)-1)</f>
        <v>20</v>
      </c>
    </row>
    <row r="25" spans="2:25" ht="15" customHeight="1" x14ac:dyDescent="0.2">
      <c r="B25" s="440"/>
      <c r="C25" s="401">
        <v>1</v>
      </c>
      <c r="D25" s="403"/>
      <c r="E25" s="401" t="str">
        <f>'3 Inv Calcs'!BS6</f>
        <v>SE3000H-US</v>
      </c>
      <c r="F25" s="402"/>
      <c r="G25" s="403"/>
      <c r="H25" s="401" t="str">
        <f>CONCATENATE('3 Inv Calcs'!BS18,"V")</f>
        <v>240V</v>
      </c>
      <c r="I25" s="403"/>
      <c r="J25" s="432" t="str">
        <f>VLOOKUP(E25,Inverters!$B$15:$J$28,3,FALSE)</f>
        <v>50A</v>
      </c>
      <c r="K25" s="434"/>
      <c r="L25" s="432" t="str">
        <f>CONCATENATE('3 Inv Calcs'!BS16,"W")</f>
        <v>3000W</v>
      </c>
      <c r="M25" s="434"/>
      <c r="N25" s="401" t="str">
        <f>CONCATENATE('3 Inv Calcs'!CD8,"A")</f>
        <v>12.5A</v>
      </c>
      <c r="O25" s="403"/>
      <c r="P25" s="401" t="str">
        <f>CONCATENATE('3 Inv Calcs'!BS11,"A")</f>
        <v>8.5A</v>
      </c>
      <c r="Q25" s="403"/>
      <c r="R25" s="401" t="str">
        <f>CONCATENATE('3 Inv Calcs'!BS9,"V")</f>
        <v>480V</v>
      </c>
      <c r="S25" s="403"/>
      <c r="T25" s="629">
        <f>'3 Inv Calcs'!BS14/100</f>
        <v>0.99</v>
      </c>
      <c r="U25" s="631"/>
      <c r="V25" s="28"/>
      <c r="X25" s="273" t="s">
        <v>671</v>
      </c>
      <c r="Y25" s="35" t="str">
        <f t="shared" si="1"/>
        <v>20</v>
      </c>
    </row>
    <row r="26" spans="2:25" ht="15" customHeight="1" x14ac:dyDescent="0.2">
      <c r="B26" s="440"/>
      <c r="C26" s="401">
        <v>1</v>
      </c>
      <c r="D26" s="403"/>
      <c r="E26" s="401" t="str">
        <f>'3 Inv Calcs'!BW6</f>
        <v>SE3000H-US</v>
      </c>
      <c r="F26" s="402"/>
      <c r="G26" s="403"/>
      <c r="H26" s="401" t="str">
        <f>CONCATENATE('3 Inv Calcs'!BW18,"V")</f>
        <v>240V</v>
      </c>
      <c r="I26" s="403"/>
      <c r="J26" s="432" t="str">
        <f>VLOOKUP(E26,Inverters!$B$15:$J$28,3,FALSE)</f>
        <v>50A</v>
      </c>
      <c r="K26" s="434"/>
      <c r="L26" s="432" t="str">
        <f>CONCATENATE('3 Inv Calcs'!BW16,"W")</f>
        <v>3000W</v>
      </c>
      <c r="M26" s="434"/>
      <c r="N26" s="401" t="str">
        <f>CONCATENATE('3 Inv Calcs'!CD9,"A")</f>
        <v>12.5A</v>
      </c>
      <c r="O26" s="403"/>
      <c r="P26" s="401" t="str">
        <f>CONCATENATE('3 Inv Calcs'!BW11,"A")</f>
        <v>8.5A</v>
      </c>
      <c r="Q26" s="403"/>
      <c r="R26" s="401" t="str">
        <f>CONCATENATE('3 Inv Calcs'!BW9,"V")</f>
        <v>480V</v>
      </c>
      <c r="S26" s="403"/>
      <c r="T26" s="629">
        <f>'3 Inv Calcs'!BW14/100</f>
        <v>0.99</v>
      </c>
      <c r="U26" s="631"/>
      <c r="V26" s="28"/>
      <c r="X26" s="398" t="s">
        <v>544</v>
      </c>
      <c r="Y26" s="399"/>
    </row>
    <row r="27" spans="2:25" ht="15" customHeight="1" x14ac:dyDescent="0.2">
      <c r="B27" s="440"/>
      <c r="C27" s="401">
        <v>1</v>
      </c>
      <c r="D27" s="403"/>
      <c r="E27" s="401" t="str">
        <f>'3 Inv Calcs'!CA6</f>
        <v>SE3000H-US</v>
      </c>
      <c r="F27" s="402"/>
      <c r="G27" s="403"/>
      <c r="H27" s="401" t="str">
        <f>CONCATENATE('3 Inv Calcs'!CA18,"V")</f>
        <v>240V</v>
      </c>
      <c r="I27" s="403"/>
      <c r="J27" s="432" t="str">
        <f>VLOOKUP(E27,Inverters!$B$15:$J$28,3,FALSE)</f>
        <v>50A</v>
      </c>
      <c r="K27" s="434"/>
      <c r="L27" s="432" t="str">
        <f>CONCATENATE('3 Inv Calcs'!CA16,"W")</f>
        <v>3000W</v>
      </c>
      <c r="M27" s="434"/>
      <c r="N27" s="401" t="str">
        <f>CONCATENATE('3 Inv Calcs'!CD10,"A")</f>
        <v>12.5A</v>
      </c>
      <c r="O27" s="403"/>
      <c r="P27" s="401" t="str">
        <f>CONCATENATE('3 Inv Calcs'!CA11,"A")</f>
        <v>8.5A</v>
      </c>
      <c r="Q27" s="403"/>
      <c r="R27" s="401" t="str">
        <f>CONCATENATE('3 Inv Calcs'!CA9,"V")</f>
        <v>480V</v>
      </c>
      <c r="S27" s="403"/>
      <c r="T27" s="629">
        <f>'3 Inv Calcs'!CA14/100</f>
        <v>0.99</v>
      </c>
      <c r="U27" s="631"/>
      <c r="V27" s="28"/>
      <c r="X27" s="41" t="s">
        <v>331</v>
      </c>
      <c r="Y27" s="278" t="str">
        <f>IF('3 Inv Input'!J33="No","Not Needed",CONCATENATE(IF(ISNUMBER(SEARCH("VISIBLE",'3 Inv Input'!D33)),"Visible, ",IF(ISNUMBER(SEARCH("Generator Isolation Device",Input!D29)),"Generator Isolation Device, ","")),IF(Y29="PV Breaker","Non-Fused","Fused")))</f>
        <v>Fused</v>
      </c>
    </row>
    <row r="28" spans="2:25" ht="15" customHeight="1" x14ac:dyDescent="0.2">
      <c r="B28" s="440"/>
      <c r="C28" s="25"/>
      <c r="D28" s="25"/>
      <c r="E28" s="25"/>
      <c r="F28" s="25"/>
      <c r="G28" s="25"/>
      <c r="H28" s="25"/>
      <c r="I28" s="25"/>
      <c r="J28" s="25"/>
      <c r="K28" s="25"/>
      <c r="L28" s="25"/>
      <c r="M28" s="25"/>
      <c r="N28" s="25"/>
      <c r="O28" s="25"/>
      <c r="P28" s="25"/>
      <c r="Q28" s="25"/>
      <c r="R28" s="25"/>
      <c r="S28" s="25"/>
      <c r="T28" s="25"/>
      <c r="U28" s="25"/>
      <c r="V28" s="28"/>
      <c r="X28" s="42" t="s">
        <v>357</v>
      </c>
      <c r="Y28" s="279" t="str">
        <f>IF(ISNUMBER(SEARCH("Regrowth",'3 Inv Input'!D7)),"Regrowth Meter",IF('3 Inv Input'!J34="No","Not Needed",IF(ISNUMBER(SEARCH("MA SMART",'3 Inv Input'!D34)),"MA Smart Generation Meter",IF(ISNUMBER(SEARCH("CUSTOMER",'3 Inv Input'!D34)),"Customer Generation Meter","PV Meter"))))</f>
        <v>Not Needed</v>
      </c>
    </row>
    <row r="29" spans="2:25" ht="15" customHeight="1" x14ac:dyDescent="0.2">
      <c r="B29" s="440"/>
      <c r="C29" s="401" t="s">
        <v>104</v>
      </c>
      <c r="D29" s="402"/>
      <c r="E29" s="402"/>
      <c r="F29" s="402"/>
      <c r="G29" s="402"/>
      <c r="H29" s="402"/>
      <c r="I29" s="402"/>
      <c r="J29" s="403"/>
      <c r="K29" s="401" t="s">
        <v>105</v>
      </c>
      <c r="L29" s="402"/>
      <c r="M29" s="402"/>
      <c r="N29" s="402"/>
      <c r="O29" s="402"/>
      <c r="P29" s="402"/>
      <c r="Q29" s="402"/>
      <c r="R29" s="402"/>
      <c r="S29" s="402"/>
      <c r="T29" s="402"/>
      <c r="U29" s="403"/>
      <c r="V29" s="28"/>
      <c r="X29" s="42" t="s">
        <v>491</v>
      </c>
      <c r="Y29" s="279" t="str">
        <f>IF(ISNUMBER(SEARCH("Regrowth",'3 Inv Input'!D7)),"Regrowth Specific Line Diagram",IF('3 Inv Input'!J35="Yes","Line-Side Tap","PV Breaker"))</f>
        <v>Line-Side Tap</v>
      </c>
    </row>
    <row r="30" spans="2:25" ht="15" customHeight="1" x14ac:dyDescent="0.2">
      <c r="B30" s="440"/>
      <c r="C30" s="401" t="s">
        <v>218</v>
      </c>
      <c r="D30" s="403"/>
      <c r="E30" s="401" t="s">
        <v>106</v>
      </c>
      <c r="F30" s="402"/>
      <c r="G30" s="403"/>
      <c r="H30" s="401" t="s">
        <v>107</v>
      </c>
      <c r="I30" s="402"/>
      <c r="J30" s="403"/>
      <c r="K30" s="401" t="s">
        <v>99</v>
      </c>
      <c r="L30" s="402"/>
      <c r="M30" s="402"/>
      <c r="N30" s="403"/>
      <c r="O30" s="401" t="s">
        <v>108</v>
      </c>
      <c r="P30" s="402"/>
      <c r="Q30" s="403"/>
      <c r="R30" s="401" t="s">
        <v>602</v>
      </c>
      <c r="S30" s="402"/>
      <c r="T30" s="402"/>
      <c r="U30" s="403"/>
      <c r="V30" s="28"/>
      <c r="X30" s="44" t="s">
        <v>526</v>
      </c>
      <c r="Y30" s="280" t="str">
        <f>IF('3 Inv Input'!D36="Yes","New Bi-Directional","Existing")</f>
        <v>New Bi-Directional</v>
      </c>
    </row>
    <row r="31" spans="2:25" ht="15" customHeight="1" x14ac:dyDescent="0.2">
      <c r="B31" s="440"/>
      <c r="C31" s="401">
        <v>1</v>
      </c>
      <c r="D31" s="403"/>
      <c r="E31" s="401" t="str">
        <f>CONCATENATE(LOOKUP('3 Inv Calcs'!CE8,1/('3 Inv Calcs'!$AB$8:$AB$44&lt;='3 Inv Calcs'!CE8)/('3 Inv Calcs'!$AC$8:$AC$44&gt;='3 Inv Calcs'!CE8),'3 Inv Calcs'!$AA$8:$AA$44),"A")</f>
        <v>20A</v>
      </c>
      <c r="F31" s="402"/>
      <c r="G31" s="403"/>
      <c r="H31" s="401" t="s">
        <v>103</v>
      </c>
      <c r="I31" s="402"/>
      <c r="J31" s="403"/>
      <c r="K31" s="401" t="str">
        <f>N25</f>
        <v>12.5A</v>
      </c>
      <c r="L31" s="402"/>
      <c r="M31" s="402"/>
      <c r="N31" s="403"/>
      <c r="O31" s="623">
        <v>1.25</v>
      </c>
      <c r="P31" s="624"/>
      <c r="Q31" s="625"/>
      <c r="R31" s="401" t="str">
        <f>CONCATENATE('3 Inv Calcs'!CE8,"A")</f>
        <v>15.625A</v>
      </c>
      <c r="S31" s="402"/>
      <c r="T31" s="402"/>
      <c r="U31" s="403"/>
      <c r="V31" s="28"/>
      <c r="X31" s="281" t="s">
        <v>492</v>
      </c>
      <c r="Y31" s="282" t="s">
        <v>11</v>
      </c>
    </row>
    <row r="32" spans="2:25" ht="15" customHeight="1" x14ac:dyDescent="0.2">
      <c r="B32" s="440"/>
      <c r="C32" s="401">
        <v>1</v>
      </c>
      <c r="D32" s="403"/>
      <c r="E32" s="401" t="str">
        <f>CONCATENATE(LOOKUP('3 Inv Calcs'!CE9,1/('3 Inv Calcs'!$AB$8:$AB$44&lt;='3 Inv Calcs'!CE9)/('3 Inv Calcs'!$AC$8:$AC$44&gt;='3 Inv Calcs'!CE9),'3 Inv Calcs'!$AA$8:$AA$44),"A")</f>
        <v>20A</v>
      </c>
      <c r="F32" s="402"/>
      <c r="G32" s="403"/>
      <c r="H32" s="401" t="s">
        <v>103</v>
      </c>
      <c r="I32" s="402"/>
      <c r="J32" s="403"/>
      <c r="K32" s="401" t="str">
        <f>N26</f>
        <v>12.5A</v>
      </c>
      <c r="L32" s="402"/>
      <c r="M32" s="402"/>
      <c r="N32" s="403"/>
      <c r="O32" s="623">
        <v>1.25</v>
      </c>
      <c r="P32" s="624"/>
      <c r="Q32" s="625"/>
      <c r="R32" s="401" t="str">
        <f>CONCATENATE('3 Inv Calcs'!CE9,"A")</f>
        <v>15.625A</v>
      </c>
      <c r="S32" s="402"/>
      <c r="T32" s="402"/>
      <c r="U32" s="403"/>
      <c r="V32" s="28"/>
      <c r="X32" s="41" t="s">
        <v>331</v>
      </c>
      <c r="Y32" s="278">
        <f>IF('3 Inv Input'!J33="No","Not Needed",IF(AND('3 Inv Input'!J34="Yes",LEFT('3 Inv Input'!D32,1)="A"),11,10))</f>
        <v>10</v>
      </c>
    </row>
    <row r="33" spans="2:25" ht="15" customHeight="1" x14ac:dyDescent="0.2">
      <c r="B33" s="440"/>
      <c r="C33" s="401">
        <v>1</v>
      </c>
      <c r="D33" s="403"/>
      <c r="E33" s="401" t="str">
        <f>CONCATENATE(LOOKUP('3 Inv Calcs'!CE10,1/('3 Inv Calcs'!$AB$8:$AB$44&lt;='3 Inv Calcs'!CE10)/('3 Inv Calcs'!$AC$8:$AC$44&gt;='3 Inv Calcs'!CE10),'3 Inv Calcs'!$AA$8:$AA$44),"A")</f>
        <v>20A</v>
      </c>
      <c r="F33" s="402"/>
      <c r="G33" s="403"/>
      <c r="H33" s="401" t="s">
        <v>103</v>
      </c>
      <c r="I33" s="402"/>
      <c r="J33" s="403"/>
      <c r="K33" s="401" t="str">
        <f>N27</f>
        <v>12.5A</v>
      </c>
      <c r="L33" s="402"/>
      <c r="M33" s="402"/>
      <c r="N33" s="403"/>
      <c r="O33" s="623">
        <v>1.25</v>
      </c>
      <c r="P33" s="624"/>
      <c r="Q33" s="625"/>
      <c r="R33" s="401" t="str">
        <f>CONCATENATE('3 Inv Calcs'!CE10,"A")</f>
        <v>15.625A</v>
      </c>
      <c r="S33" s="402"/>
      <c r="T33" s="402"/>
      <c r="U33" s="403"/>
      <c r="V33" s="28"/>
      <c r="X33" s="42" t="s">
        <v>357</v>
      </c>
      <c r="Y33" s="279" t="str">
        <f>IF('3 Inv Input'!J34="No","Not Needed",IF(AND('3 Inv Input'!J33="Yes",LEFT('3 Inv Input'!D32,1)="P"),11,10))</f>
        <v>Not Needed</v>
      </c>
    </row>
    <row r="34" spans="2:25" ht="15" customHeight="1" x14ac:dyDescent="0.2">
      <c r="B34" s="440"/>
      <c r="C34" s="401">
        <v>1</v>
      </c>
      <c r="D34" s="403"/>
      <c r="E34" s="401" t="str">
        <f>CONCATENATE(LOOKUP('3 Inv Calcs'!CE11,1/('3 Inv Calcs'!$AB$8:$AB$44&lt;='3 Inv Calcs'!CE11)/('3 Inv Calcs'!$AC$8:$AC$44&gt;='3 Inv Calcs'!CE11),'3 Inv Calcs'!$AA$8:$AA$44),"A")</f>
        <v>50A</v>
      </c>
      <c r="F34" s="402"/>
      <c r="G34" s="403"/>
      <c r="H34" s="401" t="s">
        <v>103</v>
      </c>
      <c r="I34" s="402"/>
      <c r="J34" s="403"/>
      <c r="K34" s="401" t="str">
        <f>CONCATENATE('3 Inv Calcs'!CD11,"A")</f>
        <v>37.5A</v>
      </c>
      <c r="L34" s="402"/>
      <c r="M34" s="402"/>
      <c r="N34" s="403"/>
      <c r="O34" s="623">
        <v>1.25</v>
      </c>
      <c r="P34" s="624"/>
      <c r="Q34" s="625"/>
      <c r="R34" s="401" t="str">
        <f>CONCATENATE('3 Inv Calcs'!CE11,"A")</f>
        <v>46.875A</v>
      </c>
      <c r="S34" s="402"/>
      <c r="T34" s="402"/>
      <c r="U34" s="403"/>
      <c r="V34" s="28"/>
      <c r="X34" s="42" t="s">
        <v>491</v>
      </c>
      <c r="Y34" s="279">
        <f>IF(AND('3 Inv Input'!J33="No",'3 Inv Input'!J34="No"),10,IF(AND('3 Inv Input'!J33="Yes",'3 Inv Input'!J34="Yes"),12,11))</f>
        <v>11</v>
      </c>
    </row>
    <row r="35" spans="2:25" ht="15" customHeight="1" x14ac:dyDescent="0.2">
      <c r="B35" s="440"/>
      <c r="C35" s="25"/>
      <c r="D35" s="25"/>
      <c r="E35" s="25"/>
      <c r="F35" s="25"/>
      <c r="G35" s="25"/>
      <c r="H35" s="25"/>
      <c r="I35" s="25"/>
      <c r="J35" s="25"/>
      <c r="K35" s="25"/>
      <c r="L35" s="25"/>
      <c r="M35" s="25"/>
      <c r="N35" s="25"/>
      <c r="O35" s="25"/>
      <c r="P35" s="25"/>
      <c r="Q35" s="25"/>
      <c r="R35" s="25"/>
      <c r="S35" s="25"/>
      <c r="T35" s="25"/>
      <c r="U35" s="25"/>
      <c r="V35" s="28"/>
      <c r="X35" s="44" t="s">
        <v>112</v>
      </c>
      <c r="Y35" s="280">
        <f>IF('3 Inv Input'!J35="Yes",Y32,Y34)</f>
        <v>10</v>
      </c>
    </row>
    <row r="36" spans="2:25" ht="15" customHeight="1" x14ac:dyDescent="0.25">
      <c r="B36" s="440"/>
      <c r="C36" s="265" t="s">
        <v>11</v>
      </c>
      <c r="D36" s="642" t="s">
        <v>210</v>
      </c>
      <c r="E36" s="643"/>
      <c r="F36" s="644"/>
      <c r="G36" s="642" t="s">
        <v>110</v>
      </c>
      <c r="H36" s="644"/>
      <c r="I36" s="642" t="s">
        <v>111</v>
      </c>
      <c r="J36" s="643"/>
      <c r="K36" s="644"/>
      <c r="L36" s="265" t="s">
        <v>112</v>
      </c>
      <c r="M36" s="642" t="s">
        <v>113</v>
      </c>
      <c r="N36" s="643"/>
      <c r="O36" s="644"/>
      <c r="P36" s="642" t="s">
        <v>114</v>
      </c>
      <c r="Q36" s="643"/>
      <c r="R36" s="644"/>
      <c r="S36" s="642" t="s">
        <v>223</v>
      </c>
      <c r="T36" s="643"/>
      <c r="U36" s="644"/>
      <c r="V36" s="28"/>
      <c r="X36"/>
      <c r="Y36" s="114"/>
    </row>
    <row r="37" spans="2:25" ht="15" customHeight="1" x14ac:dyDescent="0.25">
      <c r="B37" s="440"/>
      <c r="C37" s="197">
        <v>1</v>
      </c>
      <c r="D37" s="620" t="str">
        <f>CONCATENATE('3 Inv Calcs'!BB4," AWG ",'3 Inv Calcs'!AP4,", COPPER")</f>
        <v>10 AWG PV WIRE, COPPER</v>
      </c>
      <c r="E37" s="621"/>
      <c r="F37" s="622"/>
      <c r="G37" s="620" t="str">
        <f>IF('3 Inv Calcs'!AO4="Free Air","FREE AIR",CONCATENATE('3 Inv Calcs'!BF4,""" DIA. EMT"))</f>
        <v>FREE AIR</v>
      </c>
      <c r="H37" s="622"/>
      <c r="I37" s="620" t="s">
        <v>94</v>
      </c>
      <c r="J37" s="621"/>
      <c r="K37" s="622"/>
      <c r="L37" s="197" t="str">
        <f>'3 Inv Calcs'!$BG$4</f>
        <v>N/A</v>
      </c>
      <c r="M37" s="620" t="str">
        <f>CONCATENATE('3 Inv Calcs'!BA4," AWG ",'3 Inv Calcs'!AQ4,", COPPER")</f>
        <v>6 AWG BARE, COPPER</v>
      </c>
      <c r="N37" s="621"/>
      <c r="O37" s="622"/>
      <c r="P37" s="620" t="str">
        <f>IF('3 Inv Calcs'!AU4="Yes",CONCATENATE(ROUND('3 Inv Calcs'!AT4,2),"A (PER STRING)"),CONCATENATE('3 Inv Calcs'!AT4,"A"))</f>
        <v>15A (PER STRING)</v>
      </c>
      <c r="Q37" s="621"/>
      <c r="R37" s="622"/>
      <c r="S37" s="620" t="str">
        <f>IF('3 Inv Calcs'!AU4="Yes","N/A",CONCATENATE(ROUND('3 Inv Calcs'!AX4,2),"A"))</f>
        <v>N/A</v>
      </c>
      <c r="T37" s="621"/>
      <c r="U37" s="622"/>
      <c r="V37" s="28"/>
      <c r="X37"/>
      <c r="Y37"/>
    </row>
    <row r="38" spans="2:25" ht="15" customHeight="1" x14ac:dyDescent="0.25">
      <c r="B38" s="440"/>
      <c r="C38" s="197">
        <v>2</v>
      </c>
      <c r="D38" s="620" t="str">
        <f>CONCATENATE('3 Inv Calcs'!BB5," AWG ",'3 Inv Calcs'!AP7,", COPPER")</f>
        <v>10 AWG PV WIRE, COPPER</v>
      </c>
      <c r="E38" s="621"/>
      <c r="F38" s="622"/>
      <c r="G38" s="620" t="str">
        <f>IF('3 Inv Calcs'!AO7="Free Air","FREE AIR",CONCATENATE('3 Inv Calcs'!BF7,""" DIA. EMT"))</f>
        <v>FREE AIR</v>
      </c>
      <c r="H38" s="622"/>
      <c r="I38" s="620" t="s">
        <v>94</v>
      </c>
      <c r="J38" s="621"/>
      <c r="K38" s="622"/>
      <c r="L38" s="197" t="str">
        <f>'3 Inv Calcs'!$BG$7</f>
        <v>N/A</v>
      </c>
      <c r="M38" s="620" t="str">
        <f>CONCATENATE('3 Inv Calcs'!BA7," AWG ",'3 Inv Calcs'!AQ5,", COPPER")</f>
        <v>6 AWG BARE, COPPER</v>
      </c>
      <c r="N38" s="621"/>
      <c r="O38" s="622"/>
      <c r="P38" s="620" t="str">
        <f>IF('3 Inv Calcs'!AU7="Yes",CONCATENATE(ROUND('3 Inv Calcs'!AT7,2),"A (PER STRING)"),CONCATENATE('3 Inv Calcs'!AT7,"A"))</f>
        <v>15A (PER STRING)</v>
      </c>
      <c r="Q38" s="621"/>
      <c r="R38" s="622"/>
      <c r="S38" s="620" t="str">
        <f>IF('3 Inv Calcs'!AU7="Yes","N/A",CONCATENATE(ROUND('3 Inv Calcs'!AX7,2),"A"))</f>
        <v>N/A</v>
      </c>
      <c r="T38" s="621"/>
      <c r="U38" s="622"/>
      <c r="V38" s="28"/>
      <c r="X38"/>
      <c r="Y38"/>
    </row>
    <row r="39" spans="2:25" ht="15" customHeight="1" x14ac:dyDescent="0.25">
      <c r="B39" s="440"/>
      <c r="C39" s="197">
        <v>3</v>
      </c>
      <c r="D39" s="620" t="str">
        <f>CONCATENATE('3 Inv Calcs'!BB6," AWG ",'3 Inv Calcs'!AP10,", COPPER")</f>
        <v>10 AWG PV WIRE, COPPER</v>
      </c>
      <c r="E39" s="621"/>
      <c r="F39" s="622"/>
      <c r="G39" s="620" t="str">
        <f>IF('3 Inv Calcs'!AO7="Free Air","FREE AIR",CONCATENATE('3 Inv Calcs'!BF7,""" DIA. EMT"))</f>
        <v>FREE AIR</v>
      </c>
      <c r="H39" s="622"/>
      <c r="I39" s="620" t="s">
        <v>94</v>
      </c>
      <c r="J39" s="621"/>
      <c r="K39" s="622"/>
      <c r="L39" s="197" t="str">
        <f>'3 Inv Calcs'!$BG$10</f>
        <v>N/A</v>
      </c>
      <c r="M39" s="620" t="str">
        <f>CONCATENATE('3 Inv Calcs'!BA10," AWG ",'3 Inv Calcs'!AQ6,", COPPER")</f>
        <v>6 AWG BARE, COPPER</v>
      </c>
      <c r="N39" s="621"/>
      <c r="O39" s="622"/>
      <c r="P39" s="620" t="str">
        <f>IF('3 Inv Calcs'!AU13="Yes",CONCATENATE(ROUND('3 Inv Calcs'!AT13,2),"A (PER STRING)"),CONCATENATE('3 Inv Calcs'!AT13,"A"))</f>
        <v>15A (PER STRING)</v>
      </c>
      <c r="Q39" s="621"/>
      <c r="R39" s="622"/>
      <c r="S39" s="620" t="str">
        <f>IF('3 Inv Calcs'!AU10="Yes","N/A",CONCATENATE(ROUND('3 Inv Calcs'!AX10,2),"A"))</f>
        <v>N/A</v>
      </c>
      <c r="T39" s="621"/>
      <c r="U39" s="622"/>
      <c r="V39" s="28"/>
      <c r="X39"/>
      <c r="Y39"/>
    </row>
    <row r="40" spans="2:25" ht="15" customHeight="1" x14ac:dyDescent="0.25">
      <c r="B40" s="440"/>
      <c r="C40" s="197">
        <v>4</v>
      </c>
      <c r="D40" s="620" t="str">
        <f>CONCATENATE('3 Inv Calcs'!BB7," AWG ",'3 Inv Calcs'!AP13,", COPPER")</f>
        <v>10 AWG THWN-2, COPPER</v>
      </c>
      <c r="E40" s="621"/>
      <c r="F40" s="622"/>
      <c r="G40" s="620" t="str">
        <f>IF('3 Inv Calcs'!AO13="Free Air","FREE AIR",CONCATENATE('3 Inv Calcs'!BF13,""" DIA. EMT"))</f>
        <v>0.75" DIA. EMT</v>
      </c>
      <c r="H40" s="622"/>
      <c r="I40" s="620">
        <f>'3 Inv Calcs'!AK13</f>
        <v>2</v>
      </c>
      <c r="J40" s="621"/>
      <c r="K40" s="622"/>
      <c r="L40" s="197" t="str">
        <f>'3 Inv Calcs'!$BG13</f>
        <v>N/A</v>
      </c>
      <c r="M40" s="620" t="str">
        <f>CONCATENATE('3 Inv Calcs'!BA13," AWG ",'3 Inv Calcs'!AQ13,", COPPER")</f>
        <v>10 AWG THWN-2, COPPER</v>
      </c>
      <c r="N40" s="621"/>
      <c r="O40" s="622"/>
      <c r="P40" s="620" t="str">
        <f>IF('3 Inv Calcs'!AU13="Yes",CONCATENATE(ROUND('3 Inv Calcs'!AT13,2),"A (PER STRING)"),CONCATENATE('3 Inv Calcs'!AT13,"A"))</f>
        <v>15A (PER STRING)</v>
      </c>
      <c r="Q40" s="621"/>
      <c r="R40" s="622"/>
      <c r="S40" s="620" t="str">
        <f>IF('3 Inv Calcs'!AU13="Yes","N/A",CONCATENATE(ROUND('3 Inv Calcs'!AX13,2),"A"))</f>
        <v>N/A</v>
      </c>
      <c r="T40" s="621"/>
      <c r="U40" s="622"/>
      <c r="V40" s="28"/>
      <c r="X40"/>
      <c r="Y40"/>
    </row>
    <row r="41" spans="2:25" ht="15" customHeight="1" x14ac:dyDescent="0.25">
      <c r="B41" s="440"/>
      <c r="C41" s="197">
        <v>5</v>
      </c>
      <c r="D41" s="620" t="str">
        <f>CONCATENATE('3 Inv Calcs'!BB8," AWG ",'3 Inv Calcs'!AP14,", COPPER")</f>
        <v>10 AWG THWN-2, COPPER</v>
      </c>
      <c r="E41" s="621"/>
      <c r="F41" s="622"/>
      <c r="G41" s="620" t="str">
        <f>IF('3 Inv Calcs'!AO14="Free Air","FREE AIR",CONCATENATE('3 Inv Calcs'!BF14,""" DIA. EMT"))</f>
        <v>0.75" DIA. EMT</v>
      </c>
      <c r="H41" s="622"/>
      <c r="I41" s="620">
        <f>'3 Inv Calcs'!AK14</f>
        <v>2</v>
      </c>
      <c r="J41" s="621"/>
      <c r="K41" s="622"/>
      <c r="L41" s="197" t="str">
        <f>'3 Inv Calcs'!$BG14</f>
        <v>N/A</v>
      </c>
      <c r="M41" s="620" t="str">
        <f>CONCATENATE('3 Inv Calcs'!BA14," AWG ",'3 Inv Calcs'!AQ14,", COPPER")</f>
        <v>10 AWG THWN-2, COPPER</v>
      </c>
      <c r="N41" s="621"/>
      <c r="O41" s="622"/>
      <c r="P41" s="620" t="str">
        <f>IF('3 Inv Calcs'!AU14="Yes",CONCATENATE(ROUND('3 Inv Calcs'!AT14,2),"A (PER STRING)"),CONCATENATE('3 Inv Calcs'!AT14,"A"))</f>
        <v>15A (PER STRING)</v>
      </c>
      <c r="Q41" s="621"/>
      <c r="R41" s="622"/>
      <c r="S41" s="620" t="str">
        <f>IF('3 Inv Calcs'!AU14="Yes","N/A",CONCATENATE(ROUND('3 Inv Calcs'!AX14,2),"A"))</f>
        <v>N/A</v>
      </c>
      <c r="T41" s="621"/>
      <c r="U41" s="622"/>
      <c r="V41" s="28"/>
      <c r="X41"/>
      <c r="Y41"/>
    </row>
    <row r="42" spans="2:25" ht="15" customHeight="1" x14ac:dyDescent="0.2">
      <c r="B42" s="440"/>
      <c r="C42" s="197">
        <v>6</v>
      </c>
      <c r="D42" s="620" t="str">
        <f>CONCATENATE('3 Inv Calcs'!BB9," AWG ",'3 Inv Calcs'!AP15,", COPPER")</f>
        <v>10 AWG THWN-2, COPPER</v>
      </c>
      <c r="E42" s="621"/>
      <c r="F42" s="622"/>
      <c r="G42" s="620" t="str">
        <f>IF('3 Inv Calcs'!AO15="Free Air","FREE AIR",CONCATENATE('3 Inv Calcs'!BF15,""" DIA. EMT"))</f>
        <v>0.75" DIA. EMT</v>
      </c>
      <c r="H42" s="622"/>
      <c r="I42" s="620">
        <f>'3 Inv Calcs'!AK15</f>
        <v>2</v>
      </c>
      <c r="J42" s="621"/>
      <c r="K42" s="622"/>
      <c r="L42" s="197" t="str">
        <f>'3 Inv Calcs'!$BG15</f>
        <v>N/A</v>
      </c>
      <c r="M42" s="620" t="str">
        <f>CONCATENATE('3 Inv Calcs'!BA15," AWG ",'3 Inv Calcs'!AQ15,", COPPER")</f>
        <v>10 AWG THWN-2, COPPER</v>
      </c>
      <c r="N42" s="621"/>
      <c r="O42" s="622"/>
      <c r="P42" s="620" t="str">
        <f>IF('3 Inv Calcs'!AU15="Yes",CONCATENATE(ROUND('3 Inv Calcs'!AT15,2),"A (PER STRING)"),CONCATENATE('3 Inv Calcs'!AT15,"A"))</f>
        <v>15A (PER STRING)</v>
      </c>
      <c r="Q42" s="621"/>
      <c r="R42" s="622"/>
      <c r="S42" s="620" t="str">
        <f>IF('3 Inv Calcs'!AU15="Yes","N/A",CONCATENATE(ROUND('3 Inv Calcs'!AX15,2),"A"))</f>
        <v>N/A</v>
      </c>
      <c r="T42" s="621"/>
      <c r="U42" s="622"/>
      <c r="V42" s="28"/>
    </row>
    <row r="43" spans="2:25" ht="15" customHeight="1" x14ac:dyDescent="0.2">
      <c r="B43" s="440"/>
      <c r="C43" s="272">
        <v>7</v>
      </c>
      <c r="D43" s="620" t="str">
        <f>CONCATENATE('3 Inv Calcs'!BB16," AWG ",'3 Inv Calcs'!AP16,", COPPER")</f>
        <v>10 AWG THWN-2, COPPER</v>
      </c>
      <c r="E43" s="621"/>
      <c r="F43" s="622"/>
      <c r="G43" s="620" t="str">
        <f>IF('3 Inv Calcs'!AO16="Free Air","FREE AIR",CONCATENATE('3 Inv Calcs'!BF16,""" DIA. EMT"))</f>
        <v>0.75" DIA. EMT</v>
      </c>
      <c r="H43" s="622"/>
      <c r="I43" s="620">
        <f>'3 Inv Calcs'!AK16</f>
        <v>2</v>
      </c>
      <c r="J43" s="621"/>
      <c r="K43" s="622"/>
      <c r="L43" s="197" t="str">
        <f>CONCATENATE('3 Inv Calcs'!$BG16,"A")</f>
        <v>20A</v>
      </c>
      <c r="M43" s="620" t="str">
        <f>CONCATENATE('3 Inv Calcs'!BA16," AWG ",'3 Inv Calcs'!AQ16,", COPPER")</f>
        <v>10 AWG THWN-2, COPPER</v>
      </c>
      <c r="N43" s="621"/>
      <c r="O43" s="622"/>
      <c r="P43" s="620" t="str">
        <f>IF('3 Inv Calcs'!AU16="Yes",CONCATENATE(ROUND('3 Inv Calcs'!AT16,2),"A (PER STRING)"),CONCATENATE('3 Inv Calcs'!AT16,"A"))</f>
        <v>12.5A</v>
      </c>
      <c r="Q43" s="621"/>
      <c r="R43" s="622"/>
      <c r="S43" s="620" t="str">
        <f>IF('3 Inv Calcs'!AU16="Yes","N/A",CONCATENATE(ROUND('3 Inv Calcs'!AX16,2),"A"))</f>
        <v>15.63A</v>
      </c>
      <c r="T43" s="621"/>
      <c r="U43" s="622"/>
      <c r="V43" s="28"/>
    </row>
    <row r="44" spans="2:25" ht="15" customHeight="1" x14ac:dyDescent="0.2">
      <c r="B44" s="440"/>
      <c r="C44" s="272">
        <v>8</v>
      </c>
      <c r="D44" s="620" t="str">
        <f>CONCATENATE('3 Inv Calcs'!BB17," AWG ",'3 Inv Calcs'!AP17,", COPPER")</f>
        <v>10 AWG THWN-2, COPPER</v>
      </c>
      <c r="E44" s="621"/>
      <c r="F44" s="622"/>
      <c r="G44" s="620" t="str">
        <f>IF('3 Inv Calcs'!AO17="Free Air","FREE AIR",CONCATENATE('3 Inv Calcs'!BF17,""" DIA. EMT"))</f>
        <v>0.75" DIA. EMT</v>
      </c>
      <c r="H44" s="622"/>
      <c r="I44" s="620">
        <f>'3 Inv Calcs'!AK17</f>
        <v>2</v>
      </c>
      <c r="J44" s="621"/>
      <c r="K44" s="622"/>
      <c r="L44" s="197" t="str">
        <f>CONCATENATE('3 Inv Calcs'!$BG17,"A")</f>
        <v>20A</v>
      </c>
      <c r="M44" s="620" t="str">
        <f>CONCATENATE('3 Inv Calcs'!BA17," AWG ",'3 Inv Calcs'!AQ17,", COPPER")</f>
        <v>10 AWG THWN-2, COPPER</v>
      </c>
      <c r="N44" s="621"/>
      <c r="O44" s="622"/>
      <c r="P44" s="620" t="str">
        <f>IF('3 Inv Calcs'!AU17="Yes",CONCATENATE(ROUND('3 Inv Calcs'!AT17,2),"A (PER STRING)"),CONCATENATE('3 Inv Calcs'!AT17,"A"))</f>
        <v>12.5A</v>
      </c>
      <c r="Q44" s="621"/>
      <c r="R44" s="622"/>
      <c r="S44" s="620" t="str">
        <f>IF('3 Inv Calcs'!AU17="Yes","N/A",CONCATENATE(ROUND('3 Inv Calcs'!AX17,2),"A"))</f>
        <v>15.63A</v>
      </c>
      <c r="T44" s="621"/>
      <c r="U44" s="622"/>
      <c r="V44" s="28"/>
    </row>
    <row r="45" spans="2:25" ht="15" customHeight="1" x14ac:dyDescent="0.2">
      <c r="B45" s="440"/>
      <c r="C45" s="272">
        <v>9</v>
      </c>
      <c r="D45" s="620" t="str">
        <f>CONCATENATE('3 Inv Calcs'!BB18," AWG ",'3 Inv Calcs'!AP18,", COPPER")</f>
        <v>10 AWG THWN-2, COPPER</v>
      </c>
      <c r="E45" s="621"/>
      <c r="F45" s="622"/>
      <c r="G45" s="620" t="str">
        <f>IF('3 Inv Calcs'!AO18="Free Air","FREE AIR",CONCATENATE('3 Inv Calcs'!BF18,""" DIA. EMT"))</f>
        <v>0.75" DIA. EMT</v>
      </c>
      <c r="H45" s="622"/>
      <c r="I45" s="620">
        <f>'3 Inv Calcs'!AK18</f>
        <v>2</v>
      </c>
      <c r="J45" s="621"/>
      <c r="K45" s="622"/>
      <c r="L45" s="197" t="str">
        <f>CONCATENATE('3 Inv Calcs'!$BG18,"A")</f>
        <v>20A</v>
      </c>
      <c r="M45" s="620" t="str">
        <f>CONCATENATE('3 Inv Calcs'!BA18," AWG ",'3 Inv Calcs'!AQ18,", COPPER")</f>
        <v>10 AWG THWN-2, COPPER</v>
      </c>
      <c r="N45" s="621"/>
      <c r="O45" s="622"/>
      <c r="P45" s="620" t="str">
        <f>IF('3 Inv Calcs'!AU18="Yes",CONCATENATE(ROUND('3 Inv Calcs'!AT18,2),"A (PER STRING)"),CONCATENATE('3 Inv Calcs'!AT18,"A"))</f>
        <v>12.5A</v>
      </c>
      <c r="Q45" s="621"/>
      <c r="R45" s="622"/>
      <c r="S45" s="620" t="str">
        <f>IF('3 Inv Calcs'!AU18="Yes","N/A",CONCATENATE(ROUND('3 Inv Calcs'!AX18,2),"A"))</f>
        <v>15.63A</v>
      </c>
      <c r="T45" s="621"/>
      <c r="U45" s="622"/>
      <c r="V45" s="28"/>
    </row>
    <row r="46" spans="2:25" ht="15" customHeight="1" x14ac:dyDescent="0.2">
      <c r="B46" s="440"/>
      <c r="C46" s="272" t="str">
        <f>IF(OR(Y34=10,Y34="10"),10,CONCATENATE("10-",Y34))</f>
        <v>10-11</v>
      </c>
      <c r="D46" s="620" t="str">
        <f>CONCATENATE('3 Inv Calcs'!BB19," AWG ",'3 Inv Calcs'!AP19,", COPPER")</f>
        <v>8 AWG THWN-2, COPPER</v>
      </c>
      <c r="E46" s="621"/>
      <c r="F46" s="622"/>
      <c r="G46" s="620" t="str">
        <f>IF('3 Inv Calcs'!AO19="Free Air","FREE AIR",CONCATENATE('3 Inv Calcs'!BF19,""" DIA. EMT"))</f>
        <v>0.75" DIA. EMT</v>
      </c>
      <c r="H46" s="622"/>
      <c r="I46" s="620">
        <f>'3 Inv Calcs'!AK19</f>
        <v>2</v>
      </c>
      <c r="J46" s="621"/>
      <c r="K46" s="622"/>
      <c r="L46" s="197" t="str">
        <f>CONCATENATE('3 Inv Calcs'!$BG19,"A")</f>
        <v>50A</v>
      </c>
      <c r="M46" s="620" t="str">
        <f>CONCATENATE('3 Inv Calcs'!BA19," AWG ",'3 Inv Calcs'!AQ19,", COPPER")</f>
        <v>10 AWG THWN-2, COPPER</v>
      </c>
      <c r="N46" s="621"/>
      <c r="O46" s="622"/>
      <c r="P46" s="620" t="str">
        <f>IF('3 Inv Calcs'!AU19="Yes",CONCATENATE(ROUND('3 Inv Calcs'!AT19,2),"A (PER STRING)"),CONCATENATE('3 Inv Calcs'!AT19,"A"))</f>
        <v>37.5A</v>
      </c>
      <c r="Q46" s="621"/>
      <c r="R46" s="622"/>
      <c r="S46" s="620" t="str">
        <f>IF('3 Inv Calcs'!AU19="Yes","N/A",CONCATENATE(ROUND('3 Inv Calcs'!AX19,2),"A"))</f>
        <v>46.88A</v>
      </c>
      <c r="T46" s="621"/>
      <c r="U46" s="622"/>
      <c r="V46" s="28"/>
    </row>
    <row r="47" spans="2:25" ht="15" customHeight="1" x14ac:dyDescent="0.2">
      <c r="B47" s="440"/>
      <c r="C47" s="25"/>
      <c r="D47" s="25"/>
      <c r="E47" s="25"/>
      <c r="F47" s="25"/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8"/>
    </row>
    <row r="48" spans="2:25" ht="15" customHeight="1" x14ac:dyDescent="0.2">
      <c r="B48" s="440"/>
      <c r="C48" s="97" t="s">
        <v>11</v>
      </c>
      <c r="D48" s="401" t="s">
        <v>210</v>
      </c>
      <c r="E48" s="402"/>
      <c r="F48" s="403"/>
      <c r="G48" s="401" t="s">
        <v>116</v>
      </c>
      <c r="H48" s="403"/>
      <c r="I48" s="401" t="s">
        <v>117</v>
      </c>
      <c r="J48" s="403"/>
      <c r="K48" s="401" t="s">
        <v>118</v>
      </c>
      <c r="L48" s="403"/>
      <c r="M48" s="401" t="str">
        <f>IF('3 Inv Input'!D8=2017,"TEMP. FACTOR**","TEMP. FACTOR")</f>
        <v>TEMP. FACTOR**</v>
      </c>
      <c r="N48" s="402"/>
      <c r="O48" s="403"/>
      <c r="P48" s="401" t="s">
        <v>119</v>
      </c>
      <c r="Q48" s="403"/>
      <c r="R48" s="25"/>
      <c r="S48" s="25"/>
      <c r="T48" s="25"/>
      <c r="U48" s="25"/>
      <c r="V48" s="28"/>
    </row>
    <row r="49" spans="2:22" ht="15" customHeight="1" x14ac:dyDescent="0.2">
      <c r="B49" s="440"/>
      <c r="C49" s="249">
        <v>4</v>
      </c>
      <c r="D49" s="401" t="str">
        <f t="shared" ref="D49:D55" si="2">D40</f>
        <v>10 AWG THWN-2, COPPER</v>
      </c>
      <c r="E49" s="402"/>
      <c r="F49" s="403"/>
      <c r="G49" s="438" t="str">
        <f>CONCATENATE('3 Inv Calcs'!BH13,"A")</f>
        <v>35A</v>
      </c>
      <c r="H49" s="439"/>
      <c r="I49" s="435">
        <f>'3 Inv Calcs'!AS13</f>
        <v>1</v>
      </c>
      <c r="J49" s="437"/>
      <c r="K49" s="435" t="str">
        <f>CONCATENATE(ROUND(('3 Inv Calcs'!AS13*'3 Inv Calcs'!BH13),2),"A")</f>
        <v>35A</v>
      </c>
      <c r="L49" s="437"/>
      <c r="M49" s="435">
        <f>'3 Inv Calcs'!AR13</f>
        <v>1.04</v>
      </c>
      <c r="N49" s="436"/>
      <c r="O49" s="437"/>
      <c r="P49" s="435" t="str">
        <f>CONCATENATE(ROUND('3 Inv Calcs'!BI13,2),"A")</f>
        <v>36.4A</v>
      </c>
      <c r="Q49" s="437"/>
      <c r="R49" s="25"/>
      <c r="S49" s="25"/>
      <c r="T49" s="25"/>
      <c r="U49" s="25"/>
      <c r="V49" s="28"/>
    </row>
    <row r="50" spans="2:22" ht="15" customHeight="1" x14ac:dyDescent="0.2">
      <c r="B50" s="440"/>
      <c r="C50" s="249">
        <v>5</v>
      </c>
      <c r="D50" s="401" t="str">
        <f t="shared" si="2"/>
        <v>10 AWG THWN-2, COPPER</v>
      </c>
      <c r="E50" s="402"/>
      <c r="F50" s="403"/>
      <c r="G50" s="438" t="str">
        <f>CONCATENATE('3 Inv Calcs'!BH14,"A")</f>
        <v>35A</v>
      </c>
      <c r="H50" s="439"/>
      <c r="I50" s="435">
        <f>'3 Inv Calcs'!AS14</f>
        <v>1</v>
      </c>
      <c r="J50" s="437"/>
      <c r="K50" s="435" t="str">
        <f>CONCATENATE(ROUND(('3 Inv Calcs'!AS14*'3 Inv Calcs'!BH14),2),"A")</f>
        <v>35A</v>
      </c>
      <c r="L50" s="437"/>
      <c r="M50" s="435">
        <f>'3 Inv Calcs'!AR14</f>
        <v>1.04</v>
      </c>
      <c r="N50" s="436"/>
      <c r="O50" s="437"/>
      <c r="P50" s="435" t="str">
        <f>CONCATENATE(ROUND('3 Inv Calcs'!BI14,2),"A")</f>
        <v>36.4A</v>
      </c>
      <c r="Q50" s="437"/>
      <c r="R50" s="25"/>
      <c r="S50" s="25"/>
      <c r="T50" s="25"/>
      <c r="U50" s="25"/>
      <c r="V50" s="28"/>
    </row>
    <row r="51" spans="2:22" ht="15" customHeight="1" x14ac:dyDescent="0.2">
      <c r="B51" s="440"/>
      <c r="C51" s="249">
        <v>6</v>
      </c>
      <c r="D51" s="401" t="str">
        <f t="shared" si="2"/>
        <v>10 AWG THWN-2, COPPER</v>
      </c>
      <c r="E51" s="402"/>
      <c r="F51" s="403"/>
      <c r="G51" s="438" t="str">
        <f>CONCATENATE('3 Inv Calcs'!BH15,"A")</f>
        <v>35A</v>
      </c>
      <c r="H51" s="439"/>
      <c r="I51" s="435">
        <f>'3 Inv Calcs'!AS15</f>
        <v>1</v>
      </c>
      <c r="J51" s="437"/>
      <c r="K51" s="435" t="str">
        <f>CONCATENATE(ROUND(('3 Inv Calcs'!AS15*'3 Inv Calcs'!BH15),2),"A")</f>
        <v>35A</v>
      </c>
      <c r="L51" s="437"/>
      <c r="M51" s="435">
        <f>'3 Inv Calcs'!AR15</f>
        <v>1.04</v>
      </c>
      <c r="N51" s="436"/>
      <c r="O51" s="437"/>
      <c r="P51" s="435" t="str">
        <f>CONCATENATE(ROUND('3 Inv Calcs'!BI15,2),"A")</f>
        <v>36.4A</v>
      </c>
      <c r="Q51" s="437"/>
      <c r="R51" s="25"/>
      <c r="S51" s="25"/>
      <c r="T51" s="25"/>
      <c r="U51" s="25"/>
      <c r="V51" s="28"/>
    </row>
    <row r="52" spans="2:22" ht="15" customHeight="1" x14ac:dyDescent="0.2">
      <c r="B52" s="440"/>
      <c r="C52" s="249">
        <v>7</v>
      </c>
      <c r="D52" s="401" t="str">
        <f t="shared" si="2"/>
        <v>10 AWG THWN-2, COPPER</v>
      </c>
      <c r="E52" s="402"/>
      <c r="F52" s="403"/>
      <c r="G52" s="438" t="str">
        <f>CONCATENATE('3 Inv Calcs'!BH16,"A")</f>
        <v>35A</v>
      </c>
      <c r="H52" s="439"/>
      <c r="I52" s="435">
        <f>'3 Inv Calcs'!AS16</f>
        <v>1</v>
      </c>
      <c r="J52" s="437"/>
      <c r="K52" s="435" t="str">
        <f>CONCATENATE(ROUND(('3 Inv Calcs'!AS16*'3 Inv Calcs'!BH16),2),"A")</f>
        <v>35A</v>
      </c>
      <c r="L52" s="437"/>
      <c r="M52" s="435">
        <f>'3 Inv Calcs'!AR16</f>
        <v>1.04</v>
      </c>
      <c r="N52" s="436"/>
      <c r="O52" s="437"/>
      <c r="P52" s="435" t="str">
        <f>CONCATENATE(ROUND('3 Inv Calcs'!BI16,2),"A")</f>
        <v>36.4A</v>
      </c>
      <c r="Q52" s="437"/>
      <c r="R52" s="25"/>
      <c r="S52" s="25"/>
      <c r="T52" s="25"/>
      <c r="U52" s="25"/>
      <c r="V52" s="28"/>
    </row>
    <row r="53" spans="2:22" ht="15" customHeight="1" x14ac:dyDescent="0.2">
      <c r="B53" s="440"/>
      <c r="C53" s="250">
        <v>8</v>
      </c>
      <c r="D53" s="401" t="str">
        <f t="shared" si="2"/>
        <v>10 AWG THWN-2, COPPER</v>
      </c>
      <c r="E53" s="402"/>
      <c r="F53" s="403"/>
      <c r="G53" s="438" t="str">
        <f>CONCATENATE('3 Inv Calcs'!BH17,"A")</f>
        <v>35A</v>
      </c>
      <c r="H53" s="439"/>
      <c r="I53" s="435">
        <f>'3 Inv Calcs'!AS17</f>
        <v>1</v>
      </c>
      <c r="J53" s="437"/>
      <c r="K53" s="435" t="str">
        <f>CONCATENATE(ROUND(('3 Inv Calcs'!AS17*'3 Inv Calcs'!BH17),2),"A")</f>
        <v>35A</v>
      </c>
      <c r="L53" s="437"/>
      <c r="M53" s="435">
        <f>'3 Inv Calcs'!AR17</f>
        <v>1.04</v>
      </c>
      <c r="N53" s="436"/>
      <c r="O53" s="437"/>
      <c r="P53" s="435" t="str">
        <f>CONCATENATE(ROUND('3 Inv Calcs'!BI17,2),"A")</f>
        <v>36.4A</v>
      </c>
      <c r="Q53" s="437"/>
      <c r="R53" s="25"/>
      <c r="S53" s="25"/>
      <c r="T53" s="25"/>
      <c r="U53" s="25"/>
      <c r="V53" s="28"/>
    </row>
    <row r="54" spans="2:22" ht="15" customHeight="1" x14ac:dyDescent="0.2">
      <c r="B54" s="35"/>
      <c r="C54" s="250">
        <v>9</v>
      </c>
      <c r="D54" s="401" t="str">
        <f t="shared" si="2"/>
        <v>10 AWG THWN-2, COPPER</v>
      </c>
      <c r="E54" s="402"/>
      <c r="F54" s="403"/>
      <c r="G54" s="438" t="str">
        <f>CONCATENATE('3 Inv Calcs'!BH18,"A")</f>
        <v>35A</v>
      </c>
      <c r="H54" s="439"/>
      <c r="I54" s="435">
        <f>'3 Inv Calcs'!AS18</f>
        <v>1</v>
      </c>
      <c r="J54" s="437"/>
      <c r="K54" s="435" t="str">
        <f>CONCATENATE(ROUND(('3 Inv Calcs'!AS18*'3 Inv Calcs'!BH18),2),"A")</f>
        <v>35A</v>
      </c>
      <c r="L54" s="437"/>
      <c r="M54" s="435">
        <f>'3 Inv Calcs'!AR18</f>
        <v>1.04</v>
      </c>
      <c r="N54" s="436"/>
      <c r="O54" s="437"/>
      <c r="P54" s="435" t="str">
        <f>CONCATENATE(ROUND('3 Inv Calcs'!BI18,2),"A")</f>
        <v>36.4A</v>
      </c>
      <c r="Q54" s="437"/>
      <c r="R54" s="25"/>
      <c r="S54" s="25"/>
      <c r="T54" s="25"/>
      <c r="U54" s="25"/>
      <c r="V54" s="28"/>
    </row>
    <row r="55" spans="2:22" ht="15" customHeight="1" x14ac:dyDescent="0.2">
      <c r="B55" s="42"/>
      <c r="C55" s="250" t="str">
        <f>C46</f>
        <v>10-11</v>
      </c>
      <c r="D55" s="401" t="str">
        <f t="shared" si="2"/>
        <v>8 AWG THWN-2, COPPER</v>
      </c>
      <c r="E55" s="402"/>
      <c r="F55" s="403"/>
      <c r="G55" s="438" t="str">
        <f>CONCATENATE('3 Inv Calcs'!BH19,"A")</f>
        <v>50A</v>
      </c>
      <c r="H55" s="439"/>
      <c r="I55" s="435">
        <f>'3 Inv Calcs'!AS19</f>
        <v>1</v>
      </c>
      <c r="J55" s="437"/>
      <c r="K55" s="435" t="str">
        <f>CONCATENATE(ROUND(('3 Inv Calcs'!AS19*'3 Inv Calcs'!BH19),2),"A")</f>
        <v>50A</v>
      </c>
      <c r="L55" s="437"/>
      <c r="M55" s="435">
        <f>'3 Inv Calcs'!AR19</f>
        <v>1.04</v>
      </c>
      <c r="N55" s="436"/>
      <c r="O55" s="437"/>
      <c r="P55" s="435" t="str">
        <f>CONCATENATE(ROUND('3 Inv Calcs'!BI19,2),"A")</f>
        <v>52A</v>
      </c>
      <c r="Q55" s="437"/>
      <c r="R55" s="25"/>
      <c r="S55" s="25"/>
      <c r="T55" s="25"/>
      <c r="U55" s="25"/>
      <c r="V55" s="28"/>
    </row>
    <row r="56" spans="2:22" ht="15" customHeight="1" x14ac:dyDescent="0.2">
      <c r="B56" s="42"/>
      <c r="C56" s="25"/>
      <c r="D56" s="25"/>
      <c r="E56" s="25"/>
      <c r="F56" s="25"/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25"/>
      <c r="U56" s="25"/>
      <c r="V56" s="28"/>
    </row>
    <row r="57" spans="2:22" ht="15" customHeight="1" x14ac:dyDescent="0.2">
      <c r="B57" s="42"/>
      <c r="C57" s="447" t="s">
        <v>214</v>
      </c>
      <c r="D57" s="447"/>
      <c r="E57" s="447"/>
      <c r="F57" s="447"/>
      <c r="G57" s="447"/>
      <c r="H57" s="447"/>
      <c r="I57" s="447"/>
      <c r="J57" s="447"/>
      <c r="K57" s="447"/>
      <c r="L57" s="447"/>
      <c r="M57" s="447"/>
      <c r="N57" s="447"/>
      <c r="O57" s="447"/>
      <c r="P57" s="447"/>
      <c r="Q57" s="447"/>
      <c r="R57" s="447"/>
      <c r="S57" s="447"/>
      <c r="T57" s="447"/>
      <c r="U57" s="447"/>
      <c r="V57" s="28"/>
    </row>
    <row r="58" spans="2:22" ht="15" customHeight="1" x14ac:dyDescent="0.2">
      <c r="B58" s="42"/>
      <c r="C58" s="25"/>
      <c r="D58" s="25"/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25"/>
      <c r="V58" s="28"/>
    </row>
    <row r="59" spans="2:22" ht="15" customHeight="1" x14ac:dyDescent="0.2">
      <c r="B59" s="42"/>
      <c r="C59" s="447" t="s">
        <v>779</v>
      </c>
      <c r="D59" s="447"/>
      <c r="E59" s="447"/>
      <c r="F59" s="447"/>
      <c r="G59" s="447"/>
      <c r="H59" s="447"/>
      <c r="I59" s="447"/>
      <c r="J59" s="447"/>
      <c r="K59" s="447"/>
      <c r="L59" s="447"/>
      <c r="M59" s="447"/>
      <c r="N59" s="447"/>
      <c r="O59" s="447"/>
      <c r="P59" s="447"/>
      <c r="Q59" s="447"/>
      <c r="R59" s="447"/>
      <c r="S59" s="447"/>
      <c r="T59" s="447"/>
      <c r="U59" s="447"/>
      <c r="V59" s="28"/>
    </row>
    <row r="60" spans="2:22" ht="15" customHeight="1" x14ac:dyDescent="0.2">
      <c r="B60" s="42"/>
      <c r="C60" s="25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  <c r="P60" s="25"/>
      <c r="Q60" s="25"/>
      <c r="R60" s="25"/>
      <c r="S60" s="25"/>
      <c r="T60" s="25"/>
      <c r="U60" s="25"/>
      <c r="V60" s="28"/>
    </row>
    <row r="61" spans="2:22" ht="15" customHeight="1" x14ac:dyDescent="0.2">
      <c r="B61" s="44"/>
      <c r="C61" s="26"/>
      <c r="D61" s="26"/>
      <c r="E61" s="26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  <c r="S61" s="26"/>
      <c r="T61" s="26"/>
      <c r="U61" s="26"/>
      <c r="V61" s="48"/>
    </row>
    <row r="62" spans="2:22" ht="15" customHeight="1" x14ac:dyDescent="0.2">
      <c r="B62" s="398" t="s">
        <v>270</v>
      </c>
      <c r="C62" s="400"/>
      <c r="D62" s="400"/>
      <c r="E62" s="400"/>
      <c r="F62" s="400"/>
      <c r="G62" s="400"/>
      <c r="H62" s="400"/>
      <c r="I62" s="400"/>
      <c r="J62" s="400"/>
      <c r="K62" s="400"/>
      <c r="L62" s="400"/>
      <c r="M62" s="400"/>
      <c r="N62" s="400"/>
      <c r="O62" s="400"/>
      <c r="P62" s="400"/>
      <c r="Q62" s="400"/>
      <c r="R62" s="400"/>
      <c r="S62" s="400"/>
      <c r="T62" s="400"/>
      <c r="U62" s="400"/>
      <c r="V62" s="399"/>
    </row>
    <row r="63" spans="2:22" ht="15" customHeight="1" x14ac:dyDescent="0.2">
      <c r="B63" s="41"/>
      <c r="C63" s="47"/>
      <c r="D63" s="47"/>
      <c r="E63" s="47"/>
      <c r="F63" s="47"/>
      <c r="G63" s="47"/>
      <c r="H63" s="47"/>
      <c r="I63" s="47"/>
      <c r="J63" s="47"/>
      <c r="K63" s="47"/>
      <c r="L63" s="47"/>
      <c r="M63" s="47"/>
      <c r="N63" s="47"/>
      <c r="O63" s="47"/>
      <c r="P63" s="47"/>
      <c r="Q63" s="47"/>
      <c r="R63" s="47"/>
      <c r="S63" s="47"/>
      <c r="T63" s="47"/>
      <c r="U63" s="47"/>
      <c r="V63" s="51"/>
    </row>
    <row r="64" spans="2:22" ht="15" customHeight="1" x14ac:dyDescent="0.2">
      <c r="B64" s="42"/>
      <c r="C64" s="25"/>
      <c r="D64" s="25"/>
      <c r="E64" s="25"/>
      <c r="F64" s="25"/>
      <c r="G64" s="25"/>
      <c r="H64" s="25"/>
      <c r="I64" s="25"/>
      <c r="J64" s="25"/>
      <c r="K64" s="25"/>
      <c r="L64" s="25"/>
      <c r="M64" s="25"/>
      <c r="N64" s="25"/>
      <c r="O64" s="25"/>
      <c r="P64" s="25"/>
      <c r="Q64" s="25"/>
      <c r="R64" s="25"/>
      <c r="S64" s="25"/>
      <c r="T64" s="25"/>
      <c r="U64" s="25"/>
      <c r="V64" s="28"/>
    </row>
    <row r="65" spans="2:22" ht="15" customHeight="1" x14ac:dyDescent="0.2">
      <c r="B65" s="42"/>
      <c r="C65" s="25"/>
      <c r="D65" s="25"/>
      <c r="E65" s="25"/>
      <c r="F65" s="25"/>
      <c r="G65" s="25"/>
      <c r="H65" s="25"/>
      <c r="I65" s="25"/>
      <c r="J65" s="25"/>
      <c r="K65" s="25"/>
      <c r="L65" s="25"/>
      <c r="M65" s="25"/>
      <c r="N65" s="25"/>
      <c r="O65" s="25"/>
      <c r="P65" s="25"/>
      <c r="Q65" s="25"/>
      <c r="R65" s="25"/>
      <c r="S65" s="25"/>
      <c r="T65" s="25"/>
      <c r="U65" s="25"/>
      <c r="V65" s="28"/>
    </row>
    <row r="66" spans="2:22" ht="15" customHeight="1" x14ac:dyDescent="0.2">
      <c r="B66" s="42"/>
      <c r="C66" s="25"/>
      <c r="D66" s="25"/>
      <c r="E66" s="25"/>
      <c r="F66" s="25"/>
      <c r="G66" s="25"/>
      <c r="H66" s="25"/>
      <c r="I66" s="25"/>
      <c r="J66" s="25"/>
      <c r="K66" s="25"/>
      <c r="L66" s="25"/>
      <c r="M66" s="25"/>
      <c r="N66" s="25"/>
      <c r="O66" s="25"/>
      <c r="P66" s="25"/>
      <c r="Q66" s="25"/>
      <c r="R66" s="25"/>
      <c r="S66" s="25"/>
      <c r="T66" s="25"/>
      <c r="U66" s="25"/>
      <c r="V66" s="28"/>
    </row>
    <row r="67" spans="2:22" ht="15" customHeight="1" x14ac:dyDescent="0.2">
      <c r="B67" s="42"/>
      <c r="C67" s="25"/>
      <c r="D67" s="25"/>
      <c r="E67" s="25"/>
      <c r="F67" s="25"/>
      <c r="G67" s="25"/>
      <c r="H67" s="25"/>
      <c r="I67" s="25"/>
      <c r="J67" s="25"/>
      <c r="K67" s="25"/>
      <c r="L67" s="25"/>
      <c r="M67" s="25"/>
      <c r="N67" s="25"/>
      <c r="O67" s="25"/>
      <c r="P67" s="25"/>
      <c r="Q67" s="25"/>
      <c r="R67" s="25"/>
      <c r="S67" s="25"/>
      <c r="T67" s="25"/>
      <c r="U67" s="25"/>
      <c r="V67" s="28"/>
    </row>
    <row r="68" spans="2:22" ht="15" customHeight="1" x14ac:dyDescent="0.2">
      <c r="B68" s="42"/>
      <c r="C68" s="25"/>
      <c r="D68" s="25"/>
      <c r="E68" s="25"/>
      <c r="F68" s="25"/>
      <c r="G68" s="25"/>
      <c r="H68" s="25"/>
      <c r="I68" s="25"/>
      <c r="J68" s="25"/>
      <c r="K68" s="25"/>
      <c r="L68" s="25"/>
      <c r="M68" s="25"/>
      <c r="N68" s="25"/>
      <c r="O68" s="25"/>
      <c r="P68" s="25"/>
      <c r="Q68" s="25"/>
      <c r="R68" s="25"/>
      <c r="S68" s="25"/>
      <c r="T68" s="25"/>
      <c r="U68" s="25"/>
      <c r="V68" s="28"/>
    </row>
    <row r="69" spans="2:22" ht="15" customHeight="1" x14ac:dyDescent="0.2">
      <c r="B69" s="42"/>
      <c r="C69" s="52" t="s">
        <v>236</v>
      </c>
      <c r="D69" s="47"/>
      <c r="E69" s="47"/>
      <c r="F69" s="47"/>
      <c r="G69" s="51"/>
      <c r="H69" s="52" t="s">
        <v>246</v>
      </c>
      <c r="I69" s="47"/>
      <c r="J69" s="47"/>
      <c r="K69" s="47"/>
      <c r="L69" s="51"/>
      <c r="M69" s="52" t="s">
        <v>254</v>
      </c>
      <c r="N69" s="47"/>
      <c r="O69" s="47"/>
      <c r="P69" s="47"/>
      <c r="Q69" s="51"/>
      <c r="R69" s="52" t="s">
        <v>256</v>
      </c>
      <c r="S69" s="47"/>
      <c r="T69" s="47"/>
      <c r="U69" s="51"/>
      <c r="V69" s="28"/>
    </row>
    <row r="70" spans="2:22" ht="15" customHeight="1" x14ac:dyDescent="0.2">
      <c r="B70" s="42"/>
      <c r="C70" s="42"/>
      <c r="D70" s="25"/>
      <c r="E70" s="25"/>
      <c r="F70" s="25"/>
      <c r="G70" s="28"/>
      <c r="H70" s="42"/>
      <c r="I70" s="25"/>
      <c r="J70" s="25"/>
      <c r="K70" s="25"/>
      <c r="L70" s="28"/>
      <c r="M70" s="42"/>
      <c r="N70" s="25"/>
      <c r="O70" s="25"/>
      <c r="P70" s="25"/>
      <c r="Q70" s="28"/>
      <c r="R70" s="42"/>
      <c r="S70" s="25"/>
      <c r="T70" s="25"/>
      <c r="U70" s="28"/>
      <c r="V70" s="28"/>
    </row>
    <row r="71" spans="2:22" ht="15" customHeight="1" x14ac:dyDescent="0.2">
      <c r="B71" s="42"/>
      <c r="C71" s="42" t="s">
        <v>238</v>
      </c>
      <c r="D71" s="25" t="s">
        <v>259</v>
      </c>
      <c r="E71" s="25"/>
      <c r="F71" s="25"/>
      <c r="G71" s="28"/>
      <c r="H71" s="42" t="s">
        <v>247</v>
      </c>
      <c r="I71" s="25"/>
      <c r="J71" s="263" t="str">
        <f>'3 Inv Output'!E16</f>
        <v>HANWHA Q.PEAK-G4.1 300W</v>
      </c>
      <c r="K71" s="25"/>
      <c r="L71" s="28"/>
      <c r="M71" s="42" t="str">
        <f>IF('3 Inv Calcs'!$AF$3="Texas Energy Experts",("0.4% DRY BULB TEMP:"),("2% DRY BULB TEMP:"))</f>
        <v>2% DRY BULB TEMP:</v>
      </c>
      <c r="N71" s="25"/>
      <c r="O71" s="25"/>
      <c r="P71" s="25"/>
      <c r="Q71" s="54" t="str">
        <f>CONCATENATE(ROUND('3 Inv Calcs'!$AF$24,1),"°F")</f>
        <v>77°F</v>
      </c>
      <c r="R71" s="42" t="s">
        <v>238</v>
      </c>
      <c r="S71" s="25" t="s">
        <v>259</v>
      </c>
      <c r="T71" s="25"/>
      <c r="U71" s="28"/>
      <c r="V71" s="28"/>
    </row>
    <row r="72" spans="2:22" ht="15" customHeight="1" x14ac:dyDescent="0.2">
      <c r="B72" s="42"/>
      <c r="C72" s="42" t="s">
        <v>239</v>
      </c>
      <c r="D72" s="25" t="str">
        <f>CONCATENATE('3 Inv Calcs'!BS6," &amp; ",'3 Inv Calcs'!BW6," &amp; ",'3 Inv Calcs'!CA6)</f>
        <v>SE3000H-US &amp; SE3000H-US &amp; SE3000H-US</v>
      </c>
      <c r="E72" s="25"/>
      <c r="F72" s="25"/>
      <c r="G72" s="28"/>
      <c r="H72" s="42" t="s">
        <v>248</v>
      </c>
      <c r="I72" s="25"/>
      <c r="J72" s="263">
        <f>'3 Inv Output'!C16</f>
        <v>3</v>
      </c>
      <c r="K72" s="25"/>
      <c r="L72" s="28"/>
      <c r="M72" s="42"/>
      <c r="N72" s="25"/>
      <c r="O72" s="25"/>
      <c r="P72" s="25"/>
      <c r="Q72" s="55"/>
      <c r="R72" s="42" t="s">
        <v>239</v>
      </c>
      <c r="S72" s="25" t="str">
        <f>'3 Inv Calcs'!BO6</f>
        <v>P320</v>
      </c>
      <c r="T72" s="25"/>
      <c r="U72" s="28"/>
      <c r="V72" s="28"/>
    </row>
    <row r="73" spans="2:22" ht="15" customHeight="1" x14ac:dyDescent="0.2">
      <c r="B73" s="42"/>
      <c r="C73" s="42"/>
      <c r="D73" s="25"/>
      <c r="E73" s="25"/>
      <c r="F73" s="25"/>
      <c r="G73" s="28"/>
      <c r="H73" s="42" t="s">
        <v>249</v>
      </c>
      <c r="I73" s="25"/>
      <c r="J73" s="263" t="str">
        <f>'3 Inv Output'!H16</f>
        <v>300W</v>
      </c>
      <c r="K73" s="25"/>
      <c r="L73" s="28"/>
      <c r="M73" s="42" t="str">
        <f>IF('3 Inv Input'!D8=2017,"DISTANCE ABOVE ROOF (&gt; 7/8''): ","WITH TEMPERATURE ADDER:")</f>
        <v xml:space="preserve">DISTANCE ABOVE ROOF (&gt; 7/8''): </v>
      </c>
      <c r="N73" s="25"/>
      <c r="O73" s="25"/>
      <c r="P73" s="25"/>
      <c r="Q73" s="55" t="str">
        <f>IF('3 Inv Input'!D8=2017,CONCATENATE(ROUND('3 Inv Calcs'!AF24,1),"°F"),CONCATENATE(ROUND('3 Inv Calcs'!AF26,1),"°F"))</f>
        <v>77°F</v>
      </c>
      <c r="R73" s="42"/>
      <c r="S73" s="25"/>
      <c r="T73" s="25"/>
      <c r="U73" s="28"/>
      <c r="V73" s="28"/>
    </row>
    <row r="74" spans="2:22" ht="15" customHeight="1" x14ac:dyDescent="0.2">
      <c r="B74" s="42"/>
      <c r="C74" s="56" t="s">
        <v>128</v>
      </c>
      <c r="D74" s="25"/>
      <c r="E74" s="25"/>
      <c r="F74" s="25"/>
      <c r="G74" s="28"/>
      <c r="H74" s="42"/>
      <c r="I74" s="25"/>
      <c r="J74" s="25"/>
      <c r="K74" s="25"/>
      <c r="L74" s="28"/>
      <c r="M74" s="42"/>
      <c r="N74" s="25"/>
      <c r="O74" s="25"/>
      <c r="P74" s="25"/>
      <c r="Q74" s="55"/>
      <c r="R74" s="401"/>
      <c r="S74" s="403"/>
      <c r="T74" s="97" t="s">
        <v>128</v>
      </c>
      <c r="U74" s="97" t="s">
        <v>237</v>
      </c>
      <c r="V74" s="28"/>
    </row>
    <row r="75" spans="2:22" ht="15" customHeight="1" x14ac:dyDescent="0.2">
      <c r="B75" s="42"/>
      <c r="C75" s="42" t="s">
        <v>240</v>
      </c>
      <c r="D75" s="25"/>
      <c r="E75" s="25"/>
      <c r="F75" s="25" t="str">
        <f>CONCATENATE('3 Inv Calcs'!BS9,"V"," &amp; ",'3 Inv Calcs'!BW9,"V"," &amp; ",'3 Inv Calcs'!CA9,"V")</f>
        <v>480V &amp; 480V &amp; 480V</v>
      </c>
      <c r="G75" s="28"/>
      <c r="H75" s="42" t="s">
        <v>250</v>
      </c>
      <c r="I75" s="263" t="str">
        <f>'3 Inv Output'!N16</f>
        <v>39.76V</v>
      </c>
      <c r="J75" s="25" t="s">
        <v>252</v>
      </c>
      <c r="K75" s="263" t="str">
        <f>'3 Inv Output'!P16</f>
        <v>32.41V</v>
      </c>
      <c r="L75" s="28"/>
      <c r="M75" s="42" t="s">
        <v>255</v>
      </c>
      <c r="N75" s="25"/>
      <c r="O75" s="25"/>
      <c r="P75" s="25"/>
      <c r="Q75" s="55" t="str">
        <f>CONCATENATE(ROUND('3 Inv Calcs'!$AF$25,1),"°F")</f>
        <v>-13°F</v>
      </c>
      <c r="R75" s="397" t="s">
        <v>257</v>
      </c>
      <c r="S75" s="397"/>
      <c r="T75" s="97" t="str">
        <f>CONCATENATE('3 Inv Calcs'!BO9,"V")</f>
        <v>48V</v>
      </c>
      <c r="U75" s="97" t="str">
        <f>CONCATENATE('3 Inv Calcs'!BO19,"V")</f>
        <v>60V</v>
      </c>
      <c r="V75" s="28"/>
    </row>
    <row r="76" spans="2:22" ht="15" customHeight="1" x14ac:dyDescent="0.2">
      <c r="B76" s="42"/>
      <c r="C76" s="42" t="s">
        <v>241</v>
      </c>
      <c r="D76" s="25"/>
      <c r="E76" s="25"/>
      <c r="F76" s="25" t="str">
        <f>CONCATENATE('3 Inv Calcs'!BS11,"A"," &amp; ",'3 Inv Calcs'!BW11,"A"," &amp; ",'3 Inv Calcs'!CA11,"A")</f>
        <v>8.5A &amp; 8.5A &amp; 8.5A</v>
      </c>
      <c r="G76" s="28"/>
      <c r="H76" s="44" t="s">
        <v>251</v>
      </c>
      <c r="I76" s="53" t="str">
        <f>'3 Inv Output'!J16</f>
        <v>9.77A</v>
      </c>
      <c r="J76" s="26" t="s">
        <v>253</v>
      </c>
      <c r="K76" s="53" t="str">
        <f>'3 Inv Output'!L16</f>
        <v>9.26A</v>
      </c>
      <c r="L76" s="48"/>
      <c r="M76" s="44"/>
      <c r="N76" s="26"/>
      <c r="O76" s="26"/>
      <c r="P76" s="26"/>
      <c r="Q76" s="48"/>
      <c r="R76" s="397" t="s">
        <v>258</v>
      </c>
      <c r="S76" s="397"/>
      <c r="T76" s="97" t="str">
        <f>CONCATENATE('3 Inv Calcs'!BO12,"A")</f>
        <v>11A</v>
      </c>
      <c r="U76" s="97" t="str">
        <f>CONCATENATE('3 Inv Calcs'!BO18,"A")</f>
        <v>15A</v>
      </c>
      <c r="V76" s="28"/>
    </row>
    <row r="77" spans="2:22" ht="15" customHeight="1" x14ac:dyDescent="0.2">
      <c r="B77" s="42"/>
      <c r="C77" s="42" t="s">
        <v>242</v>
      </c>
      <c r="D77" s="25"/>
      <c r="E77" s="25"/>
      <c r="F77" s="25" t="str">
        <f>CONCATENATE('3 Inv Calcs'!BS8,"W"," &amp; ",'3 Inv Calcs'!BW8,"W"," &amp; ",'3 Inv Calcs'!CA8,"W")</f>
        <v>4650W &amp; 4650W &amp; 4650W</v>
      </c>
      <c r="G77" s="28"/>
      <c r="H77" s="443" t="s">
        <v>260</v>
      </c>
      <c r="I77" s="444"/>
      <c r="J77" s="444"/>
      <c r="K77" s="444"/>
      <c r="L77" s="444"/>
      <c r="M77" s="444"/>
      <c r="N77" s="444"/>
      <c r="O77" s="444"/>
      <c r="P77" s="444"/>
      <c r="Q77" s="444"/>
      <c r="R77" s="444"/>
      <c r="S77" s="444"/>
      <c r="T77" s="444"/>
      <c r="U77" s="445"/>
      <c r="V77" s="28"/>
    </row>
    <row r="78" spans="2:22" ht="15" customHeight="1" x14ac:dyDescent="0.2">
      <c r="B78" s="42"/>
      <c r="C78" s="42"/>
      <c r="D78" s="618"/>
      <c r="E78" s="618"/>
      <c r="F78" s="618"/>
      <c r="G78" s="619"/>
      <c r="H78" s="96" t="s">
        <v>11</v>
      </c>
      <c r="I78" s="410" t="s">
        <v>109</v>
      </c>
      <c r="J78" s="411"/>
      <c r="K78" s="412"/>
      <c r="L78" s="410" t="s">
        <v>262</v>
      </c>
      <c r="M78" s="411"/>
      <c r="N78" s="412"/>
      <c r="O78" s="410" t="s">
        <v>113</v>
      </c>
      <c r="P78" s="411"/>
      <c r="Q78" s="411"/>
      <c r="R78" s="412"/>
      <c r="S78" s="410" t="s">
        <v>261</v>
      </c>
      <c r="T78" s="411"/>
      <c r="U78" s="412"/>
      <c r="V78" s="28"/>
    </row>
    <row r="79" spans="2:22" ht="15" customHeight="1" x14ac:dyDescent="0.2">
      <c r="B79" s="42"/>
      <c r="C79" s="56" t="s">
        <v>237</v>
      </c>
      <c r="D79" s="618"/>
      <c r="E79" s="618"/>
      <c r="F79" s="618"/>
      <c r="G79" s="619"/>
      <c r="H79" s="259">
        <v>1</v>
      </c>
      <c r="I79" s="410" t="str">
        <f>CONCATENATE("(",'3 Inv Calcs'!AK4,") ","#",'3 Inv Calcs'!BB4," AWG ",'3 Inv Calcs'!AP4,", COPPER")</f>
        <v>(2) #10 AWG PV WIRE, COPPER</v>
      </c>
      <c r="J79" s="411"/>
      <c r="K79" s="412"/>
      <c r="L79" s="410" t="str">
        <f>IF('3 Inv Calcs'!AL4=0,"N/A",CONCATENATE("(",'3 Inv Calcs'!AL4,") ","#",'3 Inv Calcs'!BC4," AWG ",'3 Inv Calcs'!AP4,", COPPER"))</f>
        <v>N/A</v>
      </c>
      <c r="M79" s="411"/>
      <c r="N79" s="412"/>
      <c r="O79" s="410" t="str">
        <f>CONCATENATE("(",'3 Inv Calcs'!AM4,") ","#",'3 Inv Calcs'!BD4," AWG, ",'3 Inv Calcs'!AQ4,", COPPER EGC")</f>
        <v>(1) #6 AWG, BARE, COPPER EGC</v>
      </c>
      <c r="P79" s="411"/>
      <c r="Q79" s="411"/>
      <c r="R79" s="412"/>
      <c r="S79" s="410" t="str">
        <f>IF('3 Inv Calcs'!AO4="Free Air","N/A - FREE AIR",CONCATENATE('3 Inv Calcs'!BF4,""" DIA. EMT"))</f>
        <v>N/A - FREE AIR</v>
      </c>
      <c r="T79" s="411"/>
      <c r="U79" s="412"/>
      <c r="V79" s="28"/>
    </row>
    <row r="80" spans="2:22" ht="15" customHeight="1" x14ac:dyDescent="0.2">
      <c r="B80" s="42"/>
      <c r="C80" s="42" t="s">
        <v>243</v>
      </c>
      <c r="D80" s="25"/>
      <c r="E80" s="25"/>
      <c r="F80" s="25" t="str">
        <f>CONCATENATE('3 Inv Calcs'!BS16,"W"," &amp; ",'3 Inv Calcs'!BW16,"W"," &amp; ",'3 Inv Calcs'!CA16,"W")</f>
        <v>3000W &amp; 3000W &amp; 3000W</v>
      </c>
      <c r="G80" s="28"/>
      <c r="H80" s="262">
        <v>2</v>
      </c>
      <c r="I80" s="440" t="str">
        <f>CONCATENATE("(",'3 Inv Calcs'!AK7,") ","#",'3 Inv Calcs'!BB7," AWG ",'3 Inv Calcs'!AP7,", COPPER")</f>
        <v>(2) #10 AWG PV WIRE, COPPER</v>
      </c>
      <c r="J80" s="441"/>
      <c r="K80" s="442"/>
      <c r="L80" s="440" t="str">
        <f>IF('3 Inv Calcs'!AL7=0,"N/A",CONCATENATE("(",'3 Inv Calcs'!AL7,") ","#",'3 Inv Calcs'!BC7," AWG ",'3 Inv Calcs'!AP7,", COPPER"))</f>
        <v>N/A</v>
      </c>
      <c r="M80" s="441"/>
      <c r="N80" s="442"/>
      <c r="O80" s="440" t="str">
        <f>CONCATENATE("(",'3 Inv Calcs'!AM7,") ","#",'3 Inv Calcs'!BD7," AWG, ",'3 Inv Calcs'!AQ7,", COPPER EGC")</f>
        <v>(1) #6 AWG, BARE, COPPER EGC</v>
      </c>
      <c r="P80" s="441"/>
      <c r="Q80" s="441"/>
      <c r="R80" s="442"/>
      <c r="S80" s="440" t="str">
        <f>IF('3 Inv Calcs'!AO7="Free Air","N/A - FREE AIR",CONCATENATE('3 Inv Calcs'!BF7,""" DIA. EMT"))</f>
        <v>N/A - FREE AIR</v>
      </c>
      <c r="T80" s="441"/>
      <c r="U80" s="442"/>
      <c r="V80" s="28"/>
    </row>
    <row r="81" spans="2:22" ht="15" customHeight="1" x14ac:dyDescent="0.2">
      <c r="B81" s="42"/>
      <c r="C81" s="42" t="s">
        <v>244</v>
      </c>
      <c r="D81" s="25"/>
      <c r="E81" s="25"/>
      <c r="F81" s="25" t="str">
        <f>CONCATENATE('3 Inv Calcs'!BS18,"V")</f>
        <v>240V</v>
      </c>
      <c r="G81" s="28"/>
      <c r="H81" s="262">
        <v>3</v>
      </c>
      <c r="I81" s="440" t="str">
        <f>CONCATENATE("(",'3 Inv Calcs'!AK10,") ","#",'3 Inv Calcs'!BB10," AWG ",'3 Inv Calcs'!AP10,", COPPER")</f>
        <v>(2) #10 AWG PV WIRE, COPPER</v>
      </c>
      <c r="J81" s="441"/>
      <c r="K81" s="442"/>
      <c r="L81" s="440" t="str">
        <f>IF('3 Inv Calcs'!AL10=0,"N/A",CONCATENATE("(",'3 Inv Calcs'!AL10,") ","#",'3 Inv Calcs'!BC10," AWG ",'3 Inv Calcs'!AP10,", COPPER"))</f>
        <v>N/A</v>
      </c>
      <c r="M81" s="441"/>
      <c r="N81" s="442"/>
      <c r="O81" s="440" t="str">
        <f>CONCATENATE("(",'3 Inv Calcs'!AM10,") ","#",'3 Inv Calcs'!BD10," AWG, ",'3 Inv Calcs'!AQ10,", COPPER EGC")</f>
        <v>(1) #6 AWG, BARE, COPPER EGC</v>
      </c>
      <c r="P81" s="441"/>
      <c r="Q81" s="441"/>
      <c r="R81" s="442"/>
      <c r="S81" s="440" t="str">
        <f>IF('3 Inv Calcs'!AO10="Free Air","N/A - FREE AIR",CONCATENATE('3 Inv Calcs'!BF10,""" DIA. EMT"))</f>
        <v>N/A - FREE AIR</v>
      </c>
      <c r="T81" s="441"/>
      <c r="U81" s="442"/>
      <c r="V81" s="28"/>
    </row>
    <row r="82" spans="2:22" ht="15" customHeight="1" x14ac:dyDescent="0.2">
      <c r="B82" s="42"/>
      <c r="C82" s="42" t="s">
        <v>245</v>
      </c>
      <c r="D82" s="25"/>
      <c r="E82" s="25"/>
      <c r="F82" s="25" t="str">
        <f>CONCATENATE('3 Inv Calcs'!BS19,"A"," &amp; ",'3 Inv Calcs'!BW19,"A"," &amp; ",'3 Inv Calcs'!CA19,"A")</f>
        <v>12.5A &amp; 12.5A &amp; 12.5A</v>
      </c>
      <c r="G82" s="28"/>
      <c r="H82" s="262">
        <v>4</v>
      </c>
      <c r="I82" s="440" t="str">
        <f>CONCATENATE("(",'3 Inv Calcs'!AK13,") ","#",'3 Inv Calcs'!BB13," AWG ",'3 Inv Calcs'!AP13,", COPPER")</f>
        <v>(2) #10 AWG THWN-2, COPPER</v>
      </c>
      <c r="J82" s="441"/>
      <c r="K82" s="442"/>
      <c r="L82" s="440" t="str">
        <f>IF('3 Inv Calcs'!AL13=0,"N/A",CONCATENATE("(",'3 Inv Calcs'!AL13,") ","#",'3 Inv Calcs'!BC13," AWG ",'3 Inv Calcs'!AP13,", COPPER"))</f>
        <v>N/A</v>
      </c>
      <c r="M82" s="441"/>
      <c r="N82" s="442"/>
      <c r="O82" s="440" t="str">
        <f>CONCATENATE("(",'3 Inv Calcs'!AM13,") ","#",'3 Inv Calcs'!BD13," AWG, ",'3 Inv Calcs'!AQ13,", COPPER EGC")</f>
        <v>(1) #10 AWG, THWN-2, COPPER EGC</v>
      </c>
      <c r="P82" s="441"/>
      <c r="Q82" s="441"/>
      <c r="R82" s="442"/>
      <c r="S82" s="440" t="str">
        <f>IF('3 Inv Calcs'!AO13="Free Air","N/A - FREE AIR",CONCATENATE('3 Inv Calcs'!BF13,""" DIA. EMT"))</f>
        <v>0.75" DIA. EMT</v>
      </c>
      <c r="T82" s="441"/>
      <c r="U82" s="442"/>
      <c r="V82" s="28"/>
    </row>
    <row r="83" spans="2:22" ht="15" customHeight="1" x14ac:dyDescent="0.2">
      <c r="B83" s="42"/>
      <c r="C83" s="42"/>
      <c r="D83" s="25"/>
      <c r="E83" s="25"/>
      <c r="F83" s="25"/>
      <c r="G83" s="28"/>
      <c r="H83" s="262">
        <v>5</v>
      </c>
      <c r="I83" s="440" t="str">
        <f>CONCATENATE("(",'3 Inv Calcs'!AK14,") ","#",'3 Inv Calcs'!BB14," AWG ",'3 Inv Calcs'!AP14,", COPPER")</f>
        <v>(2) #10 AWG THWN-2, COPPER</v>
      </c>
      <c r="J83" s="441"/>
      <c r="K83" s="442"/>
      <c r="L83" s="440" t="str">
        <f>IF('3 Inv Calcs'!AL14=0,"N/A",CONCATENATE("(",'3 Inv Calcs'!AL14,") ","#",'3 Inv Calcs'!BC14," AWG ",'3 Inv Calcs'!AP14,", COPPER"))</f>
        <v>N/A</v>
      </c>
      <c r="M83" s="441"/>
      <c r="N83" s="442"/>
      <c r="O83" s="440" t="str">
        <f>CONCATENATE("(",'3 Inv Calcs'!AM14,") ","#",'3 Inv Calcs'!BD14," AWG, ",'3 Inv Calcs'!AQ14,", COPPER EGC")</f>
        <v>(1) #10 AWG, THWN-2, COPPER EGC</v>
      </c>
      <c r="P83" s="441"/>
      <c r="Q83" s="441"/>
      <c r="R83" s="442"/>
      <c r="S83" s="440" t="str">
        <f>IF('3 Inv Calcs'!AO14="Free Air","N/A - FREE AIR",CONCATENATE('3 Inv Calcs'!BF14,""" DIA. EMT"))</f>
        <v>0.75" DIA. EMT</v>
      </c>
      <c r="T83" s="441"/>
      <c r="U83" s="442"/>
      <c r="V83" s="28"/>
    </row>
    <row r="84" spans="2:22" ht="15" customHeight="1" x14ac:dyDescent="0.2">
      <c r="B84" s="42"/>
      <c r="C84" s="42"/>
      <c r="D84" s="25"/>
      <c r="E84" s="25"/>
      <c r="F84" s="25"/>
      <c r="G84" s="25"/>
      <c r="H84" s="262">
        <v>6</v>
      </c>
      <c r="I84" s="440" t="str">
        <f>CONCATENATE("(",'3 Inv Calcs'!AK15,") ","#",'3 Inv Calcs'!BB15," AWG ",'3 Inv Calcs'!AP15,", COPPER")</f>
        <v>(2) #10 AWG THWN-2, COPPER</v>
      </c>
      <c r="J84" s="441"/>
      <c r="K84" s="442"/>
      <c r="L84" s="440" t="str">
        <f>IF('3 Inv Calcs'!AL15=0,"N/A",CONCATENATE("(",'3 Inv Calcs'!AL15,") ","#",'3 Inv Calcs'!BC15," AWG ",'3 Inv Calcs'!AP15,", COPPER"))</f>
        <v>N/A</v>
      </c>
      <c r="M84" s="441"/>
      <c r="N84" s="442"/>
      <c r="O84" s="440" t="str">
        <f>CONCATENATE("(",'3 Inv Calcs'!AM15,") ","#",'3 Inv Calcs'!BD15," AWG, ",'3 Inv Calcs'!AQ15,", COPPER EGC")</f>
        <v>(1) #10 AWG, THWN-2, COPPER EGC</v>
      </c>
      <c r="P84" s="441"/>
      <c r="Q84" s="441"/>
      <c r="R84" s="442"/>
      <c r="S84" s="440" t="str">
        <f>IF('3 Inv Calcs'!AO15="Free Air","N/A - FREE AIR",CONCATENATE('3 Inv Calcs'!BF15,""" DIA. EMT"))</f>
        <v>0.75" DIA. EMT</v>
      </c>
      <c r="T84" s="441"/>
      <c r="U84" s="442"/>
      <c r="V84" s="28"/>
    </row>
    <row r="85" spans="2:22" ht="15" customHeight="1" x14ac:dyDescent="0.2">
      <c r="B85" s="42"/>
      <c r="C85" s="42"/>
      <c r="D85" s="25"/>
      <c r="E85" s="25"/>
      <c r="F85" s="25"/>
      <c r="G85" s="25"/>
      <c r="H85" s="293">
        <f>'3 Inv Output'!C43</f>
        <v>7</v>
      </c>
      <c r="I85" s="440" t="str">
        <f>CONCATENATE("(",'3 Inv Calcs'!AK16,") ","#",'3 Inv Calcs'!BB16," AWG ",'3 Inv Calcs'!AP16,", COPPER")</f>
        <v>(2) #10 AWG THWN-2, COPPER</v>
      </c>
      <c r="J85" s="441"/>
      <c r="K85" s="442"/>
      <c r="L85" s="440" t="str">
        <f>IF('3 Inv Calcs'!AL16=0,"N/A",CONCATENATE("(",'3 Inv Calcs'!AL16,") ","#",'3 Inv Calcs'!BC16," AWG ",'3 Inv Calcs'!AP16,", COPPER"))</f>
        <v>(1) #10 AWG THWN-2, COPPER</v>
      </c>
      <c r="M85" s="441"/>
      <c r="N85" s="442"/>
      <c r="O85" s="440" t="str">
        <f>CONCATENATE("(",'3 Inv Calcs'!AM16,") ","#",'3 Inv Calcs'!BD16," AWG, ",'3 Inv Calcs'!AQ16,", COPPER EGC")</f>
        <v>(1) #10 AWG, THWN-2, COPPER EGC</v>
      </c>
      <c r="P85" s="441"/>
      <c r="Q85" s="441"/>
      <c r="R85" s="442"/>
      <c r="S85" s="440" t="str">
        <f>IF('3 Inv Calcs'!AO16="Free Air","N/A - FREE AIR",CONCATENATE('3 Inv Calcs'!BF16,""" DIA. EMT"))</f>
        <v>0.75" DIA. EMT</v>
      </c>
      <c r="T85" s="441"/>
      <c r="U85" s="442"/>
      <c r="V85" s="28"/>
    </row>
    <row r="86" spans="2:22" ht="15" customHeight="1" x14ac:dyDescent="0.2">
      <c r="B86" s="42"/>
      <c r="C86" s="42"/>
      <c r="D86" s="25"/>
      <c r="E86" s="25"/>
      <c r="F86" s="25"/>
      <c r="G86" s="28"/>
      <c r="H86" s="293">
        <f>'3 Inv Output'!C44</f>
        <v>8</v>
      </c>
      <c r="I86" s="440" t="str">
        <f>CONCATENATE("(",'3 Inv Calcs'!AK17,") ","#",'3 Inv Calcs'!BB17," AWG ",'3 Inv Calcs'!AP17,", COPPER")</f>
        <v>(2) #10 AWG THWN-2, COPPER</v>
      </c>
      <c r="J86" s="441"/>
      <c r="K86" s="442"/>
      <c r="L86" s="440" t="str">
        <f>IF('3 Inv Calcs'!AL17=0,"N/A",CONCATENATE("(",'3 Inv Calcs'!AL17,") ","#",'3 Inv Calcs'!BC17," AWG ",'3 Inv Calcs'!AP17,", COPPER"))</f>
        <v>(1) #10 AWG THWN-2, COPPER</v>
      </c>
      <c r="M86" s="441"/>
      <c r="N86" s="442"/>
      <c r="O86" s="440" t="str">
        <f>CONCATENATE("(",'3 Inv Calcs'!AM17,") ","#",'3 Inv Calcs'!BD17," AWG, ",'3 Inv Calcs'!AQ17,", COPPER EGC")</f>
        <v>(1) #10 AWG, THWN-2, COPPER EGC</v>
      </c>
      <c r="P86" s="441"/>
      <c r="Q86" s="441"/>
      <c r="R86" s="442"/>
      <c r="S86" s="440" t="str">
        <f>IF('3 Inv Calcs'!AO17="Free Air","N/A - FREE AIR",CONCATENATE('3 Inv Calcs'!BF17,""" DIA. EMT"))</f>
        <v>0.75" DIA. EMT</v>
      </c>
      <c r="T86" s="441"/>
      <c r="U86" s="442"/>
      <c r="V86" s="28"/>
    </row>
    <row r="87" spans="2:22" ht="15" customHeight="1" x14ac:dyDescent="0.2">
      <c r="B87" s="42"/>
      <c r="C87" s="42"/>
      <c r="D87" s="25"/>
      <c r="E87" s="25"/>
      <c r="F87" s="25"/>
      <c r="G87" s="25"/>
      <c r="H87" s="293">
        <f>'3 Inv Output'!C45</f>
        <v>9</v>
      </c>
      <c r="I87" s="440" t="str">
        <f>CONCATENATE("(",'3 Inv Calcs'!AK18,") ","#",'3 Inv Calcs'!BB18," AWG ",'3 Inv Calcs'!AP18,", COPPER")</f>
        <v>(2) #10 AWG THWN-2, COPPER</v>
      </c>
      <c r="J87" s="441"/>
      <c r="K87" s="442"/>
      <c r="L87" s="440" t="str">
        <f>IF('3 Inv Calcs'!AL18=0,"N/A",CONCATENATE("(",'3 Inv Calcs'!AL18,") ","#",'3 Inv Calcs'!BC18," AWG ",'3 Inv Calcs'!AP18,", COPPER"))</f>
        <v>(1) #10 AWG THWN-2, COPPER</v>
      </c>
      <c r="M87" s="441"/>
      <c r="N87" s="442"/>
      <c r="O87" s="440" t="str">
        <f>CONCATENATE("(",'3 Inv Calcs'!AM18,") ","#",'3 Inv Calcs'!BD18," AWG, ",'3 Inv Calcs'!AQ18,", COPPER EGC")</f>
        <v>(1) #10 AWG, THWN-2, COPPER EGC</v>
      </c>
      <c r="P87" s="441"/>
      <c r="Q87" s="441"/>
      <c r="R87" s="442"/>
      <c r="S87" s="440" t="str">
        <f>IF('3 Inv Calcs'!AO18="Free Air","N/A - FREE AIR",CONCATENATE('3 Inv Calcs'!BF18,""" DIA. EMT"))</f>
        <v>0.75" DIA. EMT</v>
      </c>
      <c r="T87" s="441"/>
      <c r="U87" s="442"/>
      <c r="V87" s="28"/>
    </row>
    <row r="88" spans="2:22" ht="15" customHeight="1" x14ac:dyDescent="0.2">
      <c r="B88" s="42"/>
      <c r="C88" s="44"/>
      <c r="D88" s="26"/>
      <c r="E88" s="26"/>
      <c r="F88" s="26"/>
      <c r="G88" s="26"/>
      <c r="H88" s="251" t="str">
        <f>C46</f>
        <v>10-11</v>
      </c>
      <c r="I88" s="426" t="str">
        <f>CONCATENATE("(",'3 Inv Calcs'!AK19,") ","#",'3 Inv Calcs'!BB19," AWG ",'3 Inv Calcs'!AP19,", COPPER")</f>
        <v>(2) #8 AWG THWN-2, COPPER</v>
      </c>
      <c r="J88" s="427"/>
      <c r="K88" s="428"/>
      <c r="L88" s="426" t="str">
        <f>IF('3 Inv Calcs'!AL19=0,"N/A",CONCATENATE("(",'3 Inv Calcs'!AL19,") ","#",'3 Inv Calcs'!BC19," AWG ",'3 Inv Calcs'!AP19,", COPPER"))</f>
        <v>(1) #8 AWG THWN-2, COPPER</v>
      </c>
      <c r="M88" s="427"/>
      <c r="N88" s="428"/>
      <c r="O88" s="426" t="str">
        <f>CONCATENATE("(",'3 Inv Calcs'!AM19,") ","#",'3 Inv Calcs'!BD19," AWG, ",'3 Inv Calcs'!AQ19,", COPPER EGC")</f>
        <v>(1) #10 AWG, THWN-2, COPPER EGC</v>
      </c>
      <c r="P88" s="427"/>
      <c r="Q88" s="427"/>
      <c r="R88" s="428"/>
      <c r="S88" s="426" t="str">
        <f>IF('3 Inv Calcs'!AO19="Free Air","N/A - FREE AIR",CONCATENATE('3 Inv Calcs'!BF19,""" DIA. EMT"))</f>
        <v>0.75" DIA. EMT</v>
      </c>
      <c r="T88" s="427"/>
      <c r="U88" s="428"/>
      <c r="V88" s="28"/>
    </row>
    <row r="89" spans="2:22" ht="15" customHeight="1" x14ac:dyDescent="0.2">
      <c r="B89" s="42"/>
      <c r="C89" s="25"/>
      <c r="D89" s="25"/>
      <c r="E89" s="25"/>
      <c r="F89" s="25"/>
      <c r="G89" s="25"/>
      <c r="H89" s="25"/>
      <c r="I89" s="25"/>
      <c r="J89" s="25"/>
      <c r="K89" s="25"/>
      <c r="L89" s="25"/>
      <c r="M89" s="25"/>
      <c r="N89" s="25"/>
      <c r="O89" s="25"/>
      <c r="P89" s="25"/>
      <c r="Q89" s="25"/>
      <c r="R89" s="25"/>
      <c r="S89" s="25"/>
      <c r="T89" s="25"/>
      <c r="U89" s="25"/>
      <c r="V89" s="28"/>
    </row>
    <row r="90" spans="2:22" ht="15" customHeight="1" x14ac:dyDescent="0.2">
      <c r="B90" s="42"/>
      <c r="C90" s="25"/>
      <c r="D90" s="25"/>
      <c r="E90" s="25"/>
      <c r="F90" s="25"/>
      <c r="G90" s="25"/>
      <c r="H90" s="25"/>
      <c r="I90" s="25"/>
      <c r="J90" s="25"/>
      <c r="K90" s="25"/>
      <c r="L90" s="25"/>
      <c r="M90" s="25"/>
      <c r="N90" s="25"/>
      <c r="O90" s="25"/>
      <c r="P90" s="25"/>
      <c r="Q90" s="25"/>
      <c r="R90" s="25"/>
      <c r="S90" s="25"/>
      <c r="T90" s="25"/>
      <c r="U90" s="25"/>
      <c r="V90" s="28"/>
    </row>
    <row r="91" spans="2:22" ht="15" customHeight="1" x14ac:dyDescent="0.2">
      <c r="B91" s="42"/>
      <c r="C91" s="25"/>
      <c r="D91" s="25"/>
      <c r="E91" s="25"/>
      <c r="F91" s="25"/>
      <c r="G91" s="25"/>
      <c r="H91" s="25"/>
      <c r="I91" s="25"/>
      <c r="J91" s="25"/>
      <c r="K91" s="25"/>
      <c r="L91" s="25"/>
      <c r="M91" s="25"/>
      <c r="N91" s="25"/>
      <c r="O91" s="25"/>
      <c r="P91" s="25"/>
      <c r="Q91" s="25"/>
      <c r="R91" s="25"/>
      <c r="S91" s="25"/>
      <c r="T91" s="25"/>
      <c r="U91" s="25"/>
      <c r="V91" s="28"/>
    </row>
    <row r="92" spans="2:22" ht="15" customHeight="1" x14ac:dyDescent="0.2">
      <c r="B92" s="42"/>
      <c r="C92" s="25"/>
      <c r="D92" s="25"/>
      <c r="E92" s="25"/>
      <c r="F92" s="25"/>
      <c r="G92" s="25"/>
      <c r="H92" s="25"/>
      <c r="I92" s="25"/>
      <c r="J92" s="25"/>
      <c r="K92" s="25"/>
      <c r="L92" s="25"/>
      <c r="M92" s="25"/>
      <c r="N92" s="25"/>
      <c r="O92" s="25"/>
      <c r="P92" s="25"/>
      <c r="Q92" s="25"/>
      <c r="R92" s="25"/>
      <c r="S92" s="25"/>
      <c r="T92" s="25"/>
      <c r="U92" s="25"/>
      <c r="V92" s="28"/>
    </row>
    <row r="93" spans="2:22" ht="15" customHeight="1" x14ac:dyDescent="0.2">
      <c r="B93" s="42"/>
      <c r="C93" s="25"/>
      <c r="D93" s="25"/>
      <c r="E93" s="25"/>
      <c r="F93" s="25"/>
      <c r="G93" s="25"/>
      <c r="H93" s="25"/>
      <c r="I93" s="25"/>
      <c r="J93" s="25"/>
      <c r="K93" s="25"/>
      <c r="L93" s="25"/>
      <c r="M93" s="25"/>
      <c r="N93" s="25"/>
      <c r="O93" s="25"/>
      <c r="P93" s="25"/>
      <c r="Q93" s="25"/>
      <c r="R93" s="25"/>
      <c r="S93" s="25"/>
      <c r="T93" s="25"/>
      <c r="U93" s="25"/>
      <c r="V93" s="28"/>
    </row>
    <row r="94" spans="2:22" ht="15" customHeight="1" x14ac:dyDescent="0.2">
      <c r="B94" s="44"/>
      <c r="C94" s="26"/>
      <c r="D94" s="26"/>
      <c r="E94" s="26"/>
      <c r="F94" s="26"/>
      <c r="G94" s="26"/>
      <c r="H94" s="26"/>
      <c r="I94" s="26"/>
      <c r="J94" s="26"/>
      <c r="K94" s="26"/>
      <c r="L94" s="26"/>
      <c r="M94" s="26"/>
      <c r="N94" s="26"/>
      <c r="O94" s="26"/>
      <c r="P94" s="26"/>
      <c r="Q94" s="26"/>
      <c r="R94" s="26"/>
      <c r="S94" s="26"/>
      <c r="T94" s="26"/>
      <c r="U94" s="26"/>
      <c r="V94" s="48"/>
    </row>
  </sheetData>
  <mergeCells count="300">
    <mergeCell ref="B2:V2"/>
    <mergeCell ref="C7:G7"/>
    <mergeCell ref="N6:P6"/>
    <mergeCell ref="H6:J6"/>
    <mergeCell ref="C6:G6"/>
    <mergeCell ref="C5:P5"/>
    <mergeCell ref="B4:B53"/>
    <mergeCell ref="K53:L53"/>
    <mergeCell ref="M53:O53"/>
    <mergeCell ref="I52:J52"/>
    <mergeCell ref="K52:L52"/>
    <mergeCell ref="M52:O52"/>
    <mergeCell ref="P52:Q52"/>
    <mergeCell ref="D51:F51"/>
    <mergeCell ref="S46:U46"/>
    <mergeCell ref="D48:F48"/>
    <mergeCell ref="G48:H48"/>
    <mergeCell ref="I48:J48"/>
    <mergeCell ref="K48:L48"/>
    <mergeCell ref="M48:O48"/>
    <mergeCell ref="P48:Q48"/>
    <mergeCell ref="I49:J49"/>
    <mergeCell ref="K49:L49"/>
    <mergeCell ref="M49:O49"/>
    <mergeCell ref="I55:J55"/>
    <mergeCell ref="K55:L55"/>
    <mergeCell ref="M55:O55"/>
    <mergeCell ref="P55:Q55"/>
    <mergeCell ref="C57:U57"/>
    <mergeCell ref="C59:U59"/>
    <mergeCell ref="D55:F55"/>
    <mergeCell ref="G55:H55"/>
    <mergeCell ref="B3:V3"/>
    <mergeCell ref="P53:Q53"/>
    <mergeCell ref="D54:F54"/>
    <mergeCell ref="G54:H54"/>
    <mergeCell ref="I54:J54"/>
    <mergeCell ref="K54:L54"/>
    <mergeCell ref="M54:O54"/>
    <mergeCell ref="P54:Q54"/>
    <mergeCell ref="D53:F53"/>
    <mergeCell ref="G53:H53"/>
    <mergeCell ref="I53:J53"/>
    <mergeCell ref="K51:L51"/>
    <mergeCell ref="M51:O51"/>
    <mergeCell ref="P51:Q51"/>
    <mergeCell ref="D52:F52"/>
    <mergeCell ref="G52:H52"/>
    <mergeCell ref="S43:U43"/>
    <mergeCell ref="D44:F44"/>
    <mergeCell ref="G44:H44"/>
    <mergeCell ref="I44:K44"/>
    <mergeCell ref="S44:U44"/>
    <mergeCell ref="D45:F45"/>
    <mergeCell ref="G45:H45"/>
    <mergeCell ref="I45:K45"/>
    <mergeCell ref="S45:U45"/>
    <mergeCell ref="M44:O44"/>
    <mergeCell ref="P44:R44"/>
    <mergeCell ref="M45:O45"/>
    <mergeCell ref="P45:R45"/>
    <mergeCell ref="M43:O43"/>
    <mergeCell ref="P43:R43"/>
    <mergeCell ref="D41:F41"/>
    <mergeCell ref="G41:H41"/>
    <mergeCell ref="I41:K41"/>
    <mergeCell ref="S41:U41"/>
    <mergeCell ref="M40:O40"/>
    <mergeCell ref="P40:R40"/>
    <mergeCell ref="D42:F42"/>
    <mergeCell ref="G42:H42"/>
    <mergeCell ref="I42:K42"/>
    <mergeCell ref="S42:U42"/>
    <mergeCell ref="M42:O42"/>
    <mergeCell ref="P42:R42"/>
    <mergeCell ref="D38:F38"/>
    <mergeCell ref="G38:H38"/>
    <mergeCell ref="I38:K38"/>
    <mergeCell ref="S38:U38"/>
    <mergeCell ref="D39:F39"/>
    <mergeCell ref="G39:H39"/>
    <mergeCell ref="I39:K39"/>
    <mergeCell ref="S39:U39"/>
    <mergeCell ref="D40:F40"/>
    <mergeCell ref="G40:H40"/>
    <mergeCell ref="I40:K40"/>
    <mergeCell ref="S40:U40"/>
    <mergeCell ref="D36:F36"/>
    <mergeCell ref="G36:H36"/>
    <mergeCell ref="I36:K36"/>
    <mergeCell ref="S36:U36"/>
    <mergeCell ref="D37:F37"/>
    <mergeCell ref="G37:H37"/>
    <mergeCell ref="I37:K37"/>
    <mergeCell ref="S37:U37"/>
    <mergeCell ref="M36:O36"/>
    <mergeCell ref="P36:R36"/>
    <mergeCell ref="C29:J29"/>
    <mergeCell ref="K29:U29"/>
    <mergeCell ref="C30:D30"/>
    <mergeCell ref="H30:J30"/>
    <mergeCell ref="K30:N30"/>
    <mergeCell ref="O30:Q30"/>
    <mergeCell ref="R30:U30"/>
    <mergeCell ref="E30:G30"/>
    <mergeCell ref="C31:D31"/>
    <mergeCell ref="H31:J31"/>
    <mergeCell ref="K31:N31"/>
    <mergeCell ref="O31:Q31"/>
    <mergeCell ref="R31:U31"/>
    <mergeCell ref="C27:D27"/>
    <mergeCell ref="E27:G27"/>
    <mergeCell ref="H27:I27"/>
    <mergeCell ref="J27:K27"/>
    <mergeCell ref="L27:M27"/>
    <mergeCell ref="N27:O27"/>
    <mergeCell ref="P27:Q27"/>
    <mergeCell ref="R27:S27"/>
    <mergeCell ref="T27:U27"/>
    <mergeCell ref="C25:D25"/>
    <mergeCell ref="E25:G25"/>
    <mergeCell ref="H25:I25"/>
    <mergeCell ref="J25:K25"/>
    <mergeCell ref="L25:M25"/>
    <mergeCell ref="N25:O25"/>
    <mergeCell ref="R25:S25"/>
    <mergeCell ref="T25:U25"/>
    <mergeCell ref="C26:D26"/>
    <mergeCell ref="E26:G26"/>
    <mergeCell ref="H26:I26"/>
    <mergeCell ref="J26:K26"/>
    <mergeCell ref="L26:M26"/>
    <mergeCell ref="N26:O26"/>
    <mergeCell ref="P26:Q26"/>
    <mergeCell ref="R26:S26"/>
    <mergeCell ref="T26:U26"/>
    <mergeCell ref="C22:U22"/>
    <mergeCell ref="C23:D24"/>
    <mergeCell ref="E23:G24"/>
    <mergeCell ref="H23:I24"/>
    <mergeCell ref="J23:K24"/>
    <mergeCell ref="L23:M24"/>
    <mergeCell ref="N23:O24"/>
    <mergeCell ref="P23:Q24"/>
    <mergeCell ref="R23:S24"/>
    <mergeCell ref="T23:U24"/>
    <mergeCell ref="C19:D19"/>
    <mergeCell ref="N19:P19"/>
    <mergeCell ref="Q19:R19"/>
    <mergeCell ref="S19:U19"/>
    <mergeCell ref="C20:D20"/>
    <mergeCell ref="E20:G20"/>
    <mergeCell ref="N20:P20"/>
    <mergeCell ref="Q20:R20"/>
    <mergeCell ref="S20:U20"/>
    <mergeCell ref="L16:M16"/>
    <mergeCell ref="N16:O16"/>
    <mergeCell ref="P16:Q16"/>
    <mergeCell ref="R16:S16"/>
    <mergeCell ref="T16:U16"/>
    <mergeCell ref="C18:U18"/>
    <mergeCell ref="C16:D16"/>
    <mergeCell ref="E16:G16"/>
    <mergeCell ref="H16:I16"/>
    <mergeCell ref="J16:K16"/>
    <mergeCell ref="C14:U14"/>
    <mergeCell ref="C15:D15"/>
    <mergeCell ref="E15:G15"/>
    <mergeCell ref="H15:I15"/>
    <mergeCell ref="J15:K15"/>
    <mergeCell ref="L15:M15"/>
    <mergeCell ref="N15:O15"/>
    <mergeCell ref="P15:Q15"/>
    <mergeCell ref="R15:S15"/>
    <mergeCell ref="T15:U15"/>
    <mergeCell ref="C11:G11"/>
    <mergeCell ref="N11:P11"/>
    <mergeCell ref="T11:U11"/>
    <mergeCell ref="C12:G12"/>
    <mergeCell ref="N12:P12"/>
    <mergeCell ref="T12:U12"/>
    <mergeCell ref="K11:M11"/>
    <mergeCell ref="H12:J12"/>
    <mergeCell ref="K12:M12"/>
    <mergeCell ref="H11:J11"/>
    <mergeCell ref="C8:G8"/>
    <mergeCell ref="R8:U8"/>
    <mergeCell ref="C9:G9"/>
    <mergeCell ref="T9:U9"/>
    <mergeCell ref="C10:G10"/>
    <mergeCell ref="N10:P10"/>
    <mergeCell ref="T10:U10"/>
    <mergeCell ref="H10:J10"/>
    <mergeCell ref="K10:M10"/>
    <mergeCell ref="G51:H51"/>
    <mergeCell ref="I51:J51"/>
    <mergeCell ref="D49:F49"/>
    <mergeCell ref="G49:H49"/>
    <mergeCell ref="M46:O46"/>
    <mergeCell ref="P46:R46"/>
    <mergeCell ref="D43:F43"/>
    <mergeCell ref="G43:H43"/>
    <mergeCell ref="I43:K43"/>
    <mergeCell ref="D46:F46"/>
    <mergeCell ref="G46:H46"/>
    <mergeCell ref="I46:K46"/>
    <mergeCell ref="D50:F50"/>
    <mergeCell ref="G50:H50"/>
    <mergeCell ref="I50:J50"/>
    <mergeCell ref="K50:L50"/>
    <mergeCell ref="M50:O50"/>
    <mergeCell ref="P50:Q50"/>
    <mergeCell ref="P49:Q49"/>
    <mergeCell ref="C33:D33"/>
    <mergeCell ref="E32:G32"/>
    <mergeCell ref="E31:G31"/>
    <mergeCell ref="M41:O41"/>
    <mergeCell ref="P41:R41"/>
    <mergeCell ref="M38:O38"/>
    <mergeCell ref="P38:R38"/>
    <mergeCell ref="M39:O39"/>
    <mergeCell ref="P39:R39"/>
    <mergeCell ref="C32:D32"/>
    <mergeCell ref="H32:J32"/>
    <mergeCell ref="K32:N32"/>
    <mergeCell ref="O32:Q32"/>
    <mergeCell ref="R32:U32"/>
    <mergeCell ref="H33:J33"/>
    <mergeCell ref="K33:N33"/>
    <mergeCell ref="O33:Q33"/>
    <mergeCell ref="R33:U33"/>
    <mergeCell ref="C34:D34"/>
    <mergeCell ref="E34:G34"/>
    <mergeCell ref="H34:J34"/>
    <mergeCell ref="K34:N34"/>
    <mergeCell ref="O34:Q34"/>
    <mergeCell ref="R34:U34"/>
    <mergeCell ref="I88:K88"/>
    <mergeCell ref="I83:K83"/>
    <mergeCell ref="K6:M6"/>
    <mergeCell ref="X2:Y2"/>
    <mergeCell ref="X26:Y26"/>
    <mergeCell ref="D79:G79"/>
    <mergeCell ref="O80:R80"/>
    <mergeCell ref="S80:U80"/>
    <mergeCell ref="L81:N81"/>
    <mergeCell ref="O81:R81"/>
    <mergeCell ref="P25:Q25"/>
    <mergeCell ref="H20:J20"/>
    <mergeCell ref="K20:M20"/>
    <mergeCell ref="E19:G19"/>
    <mergeCell ref="H19:J19"/>
    <mergeCell ref="K19:M19"/>
    <mergeCell ref="M37:O37"/>
    <mergeCell ref="P37:R37"/>
    <mergeCell ref="L88:N88"/>
    <mergeCell ref="O88:R88"/>
    <mergeCell ref="S88:U88"/>
    <mergeCell ref="I86:K86"/>
    <mergeCell ref="L86:N86"/>
    <mergeCell ref="E33:G33"/>
    <mergeCell ref="O86:R86"/>
    <mergeCell ref="S86:U86"/>
    <mergeCell ref="I87:K87"/>
    <mergeCell ref="L87:N87"/>
    <mergeCell ref="O87:R87"/>
    <mergeCell ref="S87:U87"/>
    <mergeCell ref="S83:U83"/>
    <mergeCell ref="I84:K84"/>
    <mergeCell ref="L84:N84"/>
    <mergeCell ref="O84:R84"/>
    <mergeCell ref="S84:U84"/>
    <mergeCell ref="I85:K85"/>
    <mergeCell ref="L85:N85"/>
    <mergeCell ref="O85:R85"/>
    <mergeCell ref="S85:U85"/>
    <mergeCell ref="L83:N83"/>
    <mergeCell ref="O83:R83"/>
    <mergeCell ref="B62:V62"/>
    <mergeCell ref="L79:N79"/>
    <mergeCell ref="O79:R79"/>
    <mergeCell ref="S79:U79"/>
    <mergeCell ref="R74:S74"/>
    <mergeCell ref="R75:S75"/>
    <mergeCell ref="R76:S76"/>
    <mergeCell ref="H77:U77"/>
    <mergeCell ref="S81:U81"/>
    <mergeCell ref="D78:G78"/>
    <mergeCell ref="I82:K82"/>
    <mergeCell ref="L82:N82"/>
    <mergeCell ref="O82:R82"/>
    <mergeCell ref="S82:U82"/>
    <mergeCell ref="I78:K78"/>
    <mergeCell ref="L78:N78"/>
    <mergeCell ref="O78:R78"/>
    <mergeCell ref="S78:U78"/>
    <mergeCell ref="I79:K79"/>
    <mergeCell ref="I81:K81"/>
    <mergeCell ref="I80:K80"/>
    <mergeCell ref="L80:N80"/>
  </mergeCell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874B1063-73E9-4AF7-8775-1B11A2E8D8DD}">
            <xm:f>'3 Inv Input'!$D$8=2011</xm:f>
            <x14:dxf>
              <font>
                <color theme="0"/>
              </font>
            </x14:dxf>
          </x14:cfRule>
          <x14:cfRule type="expression" priority="2" id="{3A276D03-EB39-4B89-9709-1D9AF75D7F3D}">
            <xm:f>'3 Inv Input'!$D$8=2014</xm:f>
            <x14:dxf>
              <font>
                <color theme="0"/>
              </font>
            </x14:dxf>
          </x14:cfRule>
          <xm:sqref>C59:U59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DF8A53-7EA4-43CD-93A4-B65A2130D12D}">
  <sheetPr codeName="Sheet16">
    <tabColor rgb="FFFFFF00"/>
  </sheetPr>
  <dimension ref="B1:CZ127"/>
  <sheetViews>
    <sheetView topLeftCell="AE1" zoomScale="80" zoomScaleNormal="80" workbookViewId="0">
      <selection activeCell="AE1" sqref="AE1"/>
    </sheetView>
  </sheetViews>
  <sheetFormatPr defaultRowHeight="12.75" x14ac:dyDescent="0.2"/>
  <cols>
    <col min="1" max="1" width="9.140625" style="1" customWidth="1"/>
    <col min="2" max="2" width="20.140625" style="1" customWidth="1"/>
    <col min="3" max="3" width="9.85546875" style="1" customWidth="1"/>
    <col min="4" max="7" width="9.140625" style="1" customWidth="1"/>
    <col min="8" max="8" width="11" style="1" customWidth="1"/>
    <col min="9" max="9" width="10.85546875" style="1" customWidth="1"/>
    <col min="10" max="12" width="9.140625" style="1" customWidth="1"/>
    <col min="13" max="13" width="11" style="1" customWidth="1"/>
    <col min="14" max="14" width="10.85546875" style="1" customWidth="1"/>
    <col min="15" max="17" width="9.140625" style="1" customWidth="1"/>
    <col min="18" max="18" width="10.7109375" style="1" customWidth="1"/>
    <col min="19" max="19" width="10.85546875" style="1" customWidth="1"/>
    <col min="20" max="20" width="9.140625" style="1" customWidth="1"/>
    <col min="21" max="21" width="18" style="1" customWidth="1"/>
    <col min="22" max="24" width="9.140625" style="1" customWidth="1"/>
    <col min="25" max="25" width="19.140625" style="1" customWidth="1"/>
    <col min="26" max="26" width="9.140625" style="1" customWidth="1"/>
    <col min="27" max="27" width="12.42578125" style="1" customWidth="1"/>
    <col min="28" max="28" width="11.42578125" style="1" customWidth="1"/>
    <col min="29" max="29" width="12.42578125" style="1" customWidth="1"/>
    <col min="30" max="30" width="9.140625" style="1"/>
    <col min="31" max="31" width="29.140625" style="1" bestFit="1" customWidth="1"/>
    <col min="32" max="32" width="10" style="1" bestFit="1" customWidth="1"/>
    <col min="33" max="33" width="9.140625" style="1"/>
    <col min="34" max="34" width="8.140625" style="1" customWidth="1"/>
    <col min="35" max="35" width="35.28515625" style="1" bestFit="1" customWidth="1"/>
    <col min="36" max="36" width="18.7109375" style="1" bestFit="1" customWidth="1"/>
    <col min="37" max="37" width="15.28515625" style="1" bestFit="1" customWidth="1"/>
    <col min="38" max="38" width="12.28515625" style="1" bestFit="1" customWidth="1"/>
    <col min="39" max="39" width="12.7109375" style="1" bestFit="1" customWidth="1"/>
    <col min="40" max="40" width="10.5703125" style="1" customWidth="1"/>
    <col min="41" max="41" width="9.140625" style="1"/>
    <col min="42" max="42" width="10.140625" style="1" bestFit="1" customWidth="1"/>
    <col min="43" max="43" width="10" style="1" bestFit="1" customWidth="1"/>
    <col min="44" max="44" width="12.42578125" style="1" bestFit="1" customWidth="1"/>
    <col min="45" max="45" width="9.42578125" style="1" bestFit="1" customWidth="1"/>
    <col min="46" max="46" width="13.85546875" style="1" bestFit="1" customWidth="1"/>
    <col min="47" max="47" width="10.28515625" style="1" bestFit="1" customWidth="1"/>
    <col min="48" max="48" width="14.42578125" style="1" customWidth="1"/>
    <col min="49" max="49" width="16.5703125" style="1" bestFit="1" customWidth="1"/>
    <col min="50" max="50" width="17.42578125" style="1" bestFit="1" customWidth="1"/>
    <col min="51" max="51" width="17" style="1" customWidth="1"/>
    <col min="52" max="52" width="13.7109375" style="1" customWidth="1"/>
    <col min="53" max="53" width="14" style="1" customWidth="1"/>
    <col min="54" max="54" width="17" style="1" customWidth="1"/>
    <col min="55" max="55" width="13.7109375" style="1" customWidth="1"/>
    <col min="56" max="56" width="14" style="1" customWidth="1"/>
    <col min="57" max="57" width="10" style="1" bestFit="1" customWidth="1"/>
    <col min="58" max="58" width="9.140625" style="1"/>
    <col min="59" max="59" width="18" style="1" bestFit="1" customWidth="1"/>
    <col min="60" max="60" width="15" style="1" bestFit="1" customWidth="1"/>
    <col min="61" max="61" width="16.7109375" style="1" bestFit="1" customWidth="1"/>
    <col min="62" max="62" width="12.85546875" style="1" bestFit="1" customWidth="1"/>
    <col min="63" max="65" width="9.140625" style="1"/>
    <col min="66" max="66" width="32.42578125" style="1" bestFit="1" customWidth="1"/>
    <col min="67" max="69" width="9.140625" style="1"/>
    <col min="70" max="70" width="29.140625" style="1" bestFit="1" customWidth="1"/>
    <col min="71" max="71" width="18.7109375" style="1" customWidth="1"/>
    <col min="72" max="72" width="10.7109375" style="1" customWidth="1"/>
    <col min="73" max="73" width="9.140625" style="1"/>
    <col min="74" max="74" width="29.140625" style="1" bestFit="1" customWidth="1"/>
    <col min="75" max="75" width="18.7109375" style="1" customWidth="1"/>
    <col min="76" max="76" width="10.7109375" style="1" customWidth="1"/>
    <col min="77" max="77" width="9.140625" style="1"/>
    <col min="78" max="78" width="29.140625" style="1" bestFit="1" customWidth="1"/>
    <col min="79" max="79" width="18.7109375" style="1" customWidth="1"/>
    <col min="80" max="80" width="10.7109375" style="1" customWidth="1"/>
    <col min="81" max="81" width="9.140625" style="1"/>
    <col min="82" max="82" width="35.5703125" style="1" bestFit="1" customWidth="1"/>
    <col min="83" max="83" width="34.85546875" style="1" bestFit="1" customWidth="1"/>
    <col min="84" max="16384" width="9.140625" style="1"/>
  </cols>
  <sheetData>
    <row r="1" spans="2:103" ht="15" customHeight="1" x14ac:dyDescent="0.2">
      <c r="B1" s="5"/>
      <c r="C1" s="5"/>
      <c r="D1" s="5"/>
      <c r="E1" s="5"/>
      <c r="F1" s="5"/>
      <c r="G1" s="5"/>
      <c r="H1" s="5"/>
      <c r="I1" s="5"/>
      <c r="U1" s="5"/>
      <c r="Y1" s="5"/>
      <c r="AA1" s="5"/>
      <c r="AB1" s="5"/>
      <c r="AV1" s="512" t="s">
        <v>55</v>
      </c>
      <c r="BL1" s="242"/>
      <c r="BM1" s="30"/>
      <c r="BN1" s="30"/>
      <c r="BO1" s="30"/>
      <c r="BP1" s="30"/>
      <c r="BQ1" s="30"/>
      <c r="BR1" s="30"/>
      <c r="BS1" s="30"/>
      <c r="BT1" s="30"/>
      <c r="BU1" s="30"/>
    </row>
    <row r="2" spans="2:103" ht="15" customHeight="1" x14ac:dyDescent="0.2">
      <c r="B2" s="5"/>
      <c r="C2" s="5"/>
      <c r="D2" s="5"/>
      <c r="E2" s="5"/>
      <c r="F2" s="5"/>
      <c r="G2" s="5"/>
      <c r="H2" s="5"/>
      <c r="I2" s="5"/>
      <c r="U2" s="5"/>
      <c r="Y2" s="5"/>
      <c r="AA2" s="5"/>
      <c r="AB2" s="5"/>
      <c r="AN2" s="536" t="str">
        <f>IF(AF3="Texas Energy Experts","0.4% DB High Temp","2% DB 
High Temp")</f>
        <v>2% DB 
High Temp</v>
      </c>
      <c r="AP2" s="101" t="s">
        <v>215</v>
      </c>
      <c r="AQ2" s="101" t="s">
        <v>113</v>
      </c>
      <c r="AS2" s="190"/>
      <c r="AV2" s="513"/>
      <c r="AW2" s="190"/>
      <c r="AX2" s="92"/>
      <c r="AY2" s="458" t="s">
        <v>672</v>
      </c>
      <c r="AZ2" s="459"/>
      <c r="BA2" s="460"/>
      <c r="BB2" s="458" t="s">
        <v>655</v>
      </c>
      <c r="BC2" s="459"/>
      <c r="BD2" s="460"/>
      <c r="BF2" s="458" t="s">
        <v>568</v>
      </c>
      <c r="BG2" s="460"/>
      <c r="BH2" s="538" t="s">
        <v>73</v>
      </c>
      <c r="BI2" s="538"/>
      <c r="BJ2" s="192" t="s">
        <v>79</v>
      </c>
      <c r="BL2" s="243"/>
      <c r="BM2" s="3"/>
      <c r="BN2" s="598" t="s">
        <v>120</v>
      </c>
      <c r="BO2" s="599"/>
      <c r="BP2" s="599"/>
      <c r="BQ2" s="599"/>
      <c r="BR2" s="599"/>
      <c r="BS2" s="599"/>
      <c r="BT2" s="599"/>
      <c r="BU2" s="599"/>
      <c r="BV2" s="599"/>
      <c r="BW2" s="599"/>
      <c r="BX2" s="599"/>
      <c r="BY2" s="599"/>
      <c r="BZ2" s="599"/>
      <c r="CA2" s="599"/>
      <c r="CB2" s="600"/>
      <c r="CD2" s="93" t="s">
        <v>182</v>
      </c>
    </row>
    <row r="3" spans="2:103" ht="15" customHeight="1" x14ac:dyDescent="0.2">
      <c r="B3" s="478" t="s">
        <v>12</v>
      </c>
      <c r="C3" s="478"/>
      <c r="D3" s="478"/>
      <c r="E3" s="5"/>
      <c r="F3" s="539" t="s">
        <v>15</v>
      </c>
      <c r="G3" s="539"/>
      <c r="H3" s="539"/>
      <c r="I3" s="539"/>
      <c r="J3" s="3"/>
      <c r="K3" s="539" t="s">
        <v>15</v>
      </c>
      <c r="L3" s="539"/>
      <c r="M3" s="539"/>
      <c r="N3" s="539"/>
      <c r="O3" s="3"/>
      <c r="P3" s="478" t="s">
        <v>20</v>
      </c>
      <c r="Q3" s="478"/>
      <c r="R3" s="478"/>
      <c r="S3" s="478"/>
      <c r="T3" s="3"/>
      <c r="U3" s="478" t="s">
        <v>56</v>
      </c>
      <c r="V3" s="478"/>
      <c r="W3" s="478"/>
      <c r="X3" s="478"/>
      <c r="Y3" s="478"/>
      <c r="Z3" s="3"/>
      <c r="AA3" s="478" t="s">
        <v>65</v>
      </c>
      <c r="AB3" s="478"/>
      <c r="AC3" s="478"/>
      <c r="AD3" s="3"/>
      <c r="AE3" s="103" t="s">
        <v>93</v>
      </c>
      <c r="AF3" s="244" t="str">
        <f>'3 Inv Input'!D4</f>
        <v>Palmetto</v>
      </c>
      <c r="AH3" s="37" t="s">
        <v>656</v>
      </c>
      <c r="AI3" s="37" t="s">
        <v>11</v>
      </c>
      <c r="AJ3" s="37" t="s">
        <v>569</v>
      </c>
      <c r="AK3" s="37" t="s">
        <v>7</v>
      </c>
      <c r="AL3" s="37" t="s">
        <v>6</v>
      </c>
      <c r="AM3" s="194" t="s">
        <v>5</v>
      </c>
      <c r="AN3" s="537"/>
      <c r="AO3" s="195" t="s">
        <v>85</v>
      </c>
      <c r="AP3" s="29" t="s">
        <v>57</v>
      </c>
      <c r="AQ3" s="29" t="s">
        <v>57</v>
      </c>
      <c r="AR3" s="196" t="s">
        <v>0</v>
      </c>
      <c r="AS3" s="37" t="s">
        <v>1</v>
      </c>
      <c r="AT3" s="37" t="s">
        <v>2</v>
      </c>
      <c r="AU3" s="37" t="s">
        <v>224</v>
      </c>
      <c r="AV3" s="37" t="s">
        <v>3</v>
      </c>
      <c r="AW3" s="92" t="s">
        <v>4</v>
      </c>
      <c r="AX3" s="37" t="s">
        <v>52</v>
      </c>
      <c r="AY3" s="37" t="s">
        <v>8</v>
      </c>
      <c r="AZ3" s="37" t="s">
        <v>64</v>
      </c>
      <c r="BA3" s="37" t="s">
        <v>9</v>
      </c>
      <c r="BB3" s="37" t="s">
        <v>8</v>
      </c>
      <c r="BC3" s="37" t="s">
        <v>64</v>
      </c>
      <c r="BD3" s="37" t="s">
        <v>9</v>
      </c>
      <c r="BE3" s="37" t="s">
        <v>53</v>
      </c>
      <c r="BF3" s="37" t="s">
        <v>10</v>
      </c>
      <c r="BG3" s="37" t="s">
        <v>232</v>
      </c>
      <c r="BH3" s="37" t="s">
        <v>71</v>
      </c>
      <c r="BI3" s="37" t="s">
        <v>72</v>
      </c>
      <c r="BJ3" s="37" t="s">
        <v>78</v>
      </c>
      <c r="BL3" s="243"/>
      <c r="BM3" s="30"/>
      <c r="BN3" s="30"/>
      <c r="BO3" s="30"/>
      <c r="BP3" s="30"/>
      <c r="BQ3" s="30"/>
      <c r="BR3" s="30"/>
      <c r="BS3" s="30"/>
      <c r="BT3" s="30"/>
      <c r="BU3" s="30"/>
      <c r="CD3" s="97">
        <f>BO18</f>
        <v>15</v>
      </c>
    </row>
    <row r="4" spans="2:103" ht="15" customHeight="1" x14ac:dyDescent="0.2">
      <c r="B4" s="5"/>
      <c r="C4" s="5"/>
      <c r="D4" s="5"/>
      <c r="E4" s="5"/>
      <c r="F4" s="509" t="s">
        <v>234</v>
      </c>
      <c r="G4" s="509"/>
      <c r="H4" s="509"/>
      <c r="I4" s="509"/>
      <c r="J4" s="4"/>
      <c r="K4" s="509" t="s">
        <v>235</v>
      </c>
      <c r="L4" s="509"/>
      <c r="M4" s="509"/>
      <c r="N4" s="509"/>
      <c r="O4" s="4"/>
      <c r="T4" s="4"/>
      <c r="U4" s="4"/>
      <c r="V4" s="4"/>
      <c r="W4" s="4"/>
      <c r="X4" s="4"/>
      <c r="Y4" s="4"/>
      <c r="Z4" s="4"/>
      <c r="AA4" s="5"/>
      <c r="AB4" s="5"/>
      <c r="AC4" s="4"/>
      <c r="AD4" s="4"/>
      <c r="AE4" s="42"/>
      <c r="AF4" s="28"/>
      <c r="AH4" s="37">
        <v>1</v>
      </c>
      <c r="AI4" s="37" t="s">
        <v>570</v>
      </c>
      <c r="AJ4" s="97">
        <f>'3 Inv Input'!G12</f>
        <v>1</v>
      </c>
      <c r="AK4" s="37">
        <f>IF(AJ4="N/A",0,2)</f>
        <v>2</v>
      </c>
      <c r="AL4" s="37">
        <v>0</v>
      </c>
      <c r="AM4" s="37">
        <f>IF(AJ4="N/A",0,1)</f>
        <v>1</v>
      </c>
      <c r="AN4" s="37">
        <f>IF('3 Inv Input'!$D$8=2017,$AF$22,$AF$22+33)</f>
        <v>25</v>
      </c>
      <c r="AO4" s="196" t="s">
        <v>86</v>
      </c>
      <c r="AP4" s="37" t="s">
        <v>115</v>
      </c>
      <c r="AQ4" s="37" t="s">
        <v>222</v>
      </c>
      <c r="AR4" s="200">
        <f>IF(AP4="THWN",VLOOKUP(ROUNDUP(AN4,0),$U$8:$Y$83,3,FALSE),VLOOKUP(ROUNDUP(AN4,0),$U$8:$Y$83,4,FALSE))</f>
        <v>1.04</v>
      </c>
      <c r="AS4" s="200">
        <f>IF(AO4="Free Air",1,LOOKUP(AK4,1/($R$8:$R$14&lt;=AK4)/($S$8:$S$14&gt;=AK4),$P$8:$P$14))</f>
        <v>1</v>
      </c>
      <c r="AT4" s="97">
        <f t="shared" ref="AT4:AT15" si="0">$BO$18</f>
        <v>15</v>
      </c>
      <c r="AU4" s="97" t="s">
        <v>88</v>
      </c>
      <c r="AV4" s="200">
        <f>ROUND(AT4*1.25,2)</f>
        <v>18.75</v>
      </c>
      <c r="AW4" s="308">
        <f t="shared" ref="AW4:AW15" si="1">ROUND(AT4/(AR4*AS4),2)</f>
        <v>14.42</v>
      </c>
      <c r="AX4" s="200">
        <f>AW4</f>
        <v>14.42</v>
      </c>
      <c r="AY4" s="97">
        <f t="shared" ref="AY4:AY19" si="2">LOOKUP(AX4,1/($H$7:$H$34&lt;=AX4)/($I$7:$I$34&gt;=AX4),$F$7:$F$34)</f>
        <v>10</v>
      </c>
      <c r="AZ4" s="97" t="s">
        <v>51</v>
      </c>
      <c r="BA4" s="597">
        <f>IF(AO4="Free Air",6,LOOKUP(AX4,1/($C$7:$C$25&lt;=AX4)/($D$7:$D$25&gt;=AX4),$B$7:$B$25))</f>
        <v>6</v>
      </c>
      <c r="BB4" s="306">
        <f>'3 Inv VD'!AH33</f>
        <v>10</v>
      </c>
      <c r="BC4" s="261" t="str">
        <f>'3 Inv VD'!AI33</f>
        <v>-</v>
      </c>
      <c r="BD4" s="592">
        <f>'3 Inv VD'!AJ33</f>
        <v>6</v>
      </c>
      <c r="BE4" s="594">
        <f>(AK4*(VLOOKUP(BB4,$P$27:$S$50,3,FALSE)))+(AM4*(VLOOKUP(BD4,$P$27:$S$50,3,FALSE)))+(AK5*(VLOOKUP(BB5,$P$27:$S$50,3,FALSE)))+(AK6*(VLOOKUP(BB6,$P$27:$S$50,3,FALSE)))</f>
        <v>9.290000000000001E-2</v>
      </c>
      <c r="BF4" s="597">
        <f t="shared" ref="BF4:BF7" si="3">IF(BE4&lt;$S$57,$P$57,IF(AND(BE4&gt;$S$57,BE4&lt;$S$58),$P$58,IF(AND(BE4&gt;$S$58,BE4&lt;$S$59),$P$59,IF(AND(BE4&gt;$S$59,BE4&lt;$S$60),$P$60,IF(AND(BE4&gt;$S$60,BE4&lt;$S$61),$P$61,IF(AND(BE4&gt;$S$61,BE4&lt;$S$62),$P$62,IF(AND(BE4&gt;$S$62,BE4&lt;$S$63),$P$63,IF(AND(BE4&gt;$S$63,BE4&lt;$S$64),$P$64,IF(AND(BE4&gt;$S$64,BE4&lt;$S$65),$P$65,IF(AND(BE4&gt;$S$65,BE4&lt;$S$66),$P$66,"Error"))))))))))</f>
        <v>0.75</v>
      </c>
      <c r="BG4" s="597" t="s">
        <v>94</v>
      </c>
      <c r="BH4" s="37">
        <f t="shared" ref="BH4:BH19" si="4">VLOOKUP(BB4,$P$71:$S$100,3,FALSE)</f>
        <v>35</v>
      </c>
      <c r="BI4" s="37">
        <f>ROUND(BH4*(AR4*AS4),2)</f>
        <v>36.4</v>
      </c>
      <c r="BJ4" s="37">
        <f>IF(BB4=14,15,IF(BB4=12,20,IF(BB4=10,30,"N/A")))</f>
        <v>30</v>
      </c>
      <c r="BL4" s="245" t="s">
        <v>571</v>
      </c>
      <c r="BM4" s="31"/>
      <c r="BN4" s="530" t="s">
        <v>121</v>
      </c>
      <c r="BO4" s="531"/>
      <c r="BP4" s="532"/>
      <c r="BQ4" s="31"/>
      <c r="BR4" s="530" t="s">
        <v>122</v>
      </c>
      <c r="BS4" s="531"/>
      <c r="BT4" s="532"/>
      <c r="BU4" s="31"/>
      <c r="BV4" s="530" t="s">
        <v>122</v>
      </c>
      <c r="BW4" s="531"/>
      <c r="BX4" s="532"/>
      <c r="BZ4" s="530" t="s">
        <v>122</v>
      </c>
      <c r="CA4" s="531"/>
      <c r="CB4" s="532"/>
      <c r="CD4" s="201"/>
      <c r="CY4" s="5"/>
    </row>
    <row r="5" spans="2:103" ht="15" customHeight="1" x14ac:dyDescent="0.2">
      <c r="B5" s="446" t="s">
        <v>13</v>
      </c>
      <c r="C5" s="446"/>
      <c r="D5" s="446"/>
      <c r="E5" s="5"/>
      <c r="F5" s="482"/>
      <c r="G5" s="482"/>
      <c r="H5" s="482"/>
      <c r="I5" s="482"/>
      <c r="J5" s="4"/>
      <c r="K5" s="482"/>
      <c r="L5" s="482"/>
      <c r="M5" s="482"/>
      <c r="N5" s="482"/>
      <c r="O5" s="4"/>
      <c r="P5" s="482" t="s">
        <v>21</v>
      </c>
      <c r="Q5" s="482"/>
      <c r="R5" s="482"/>
      <c r="S5" s="482"/>
      <c r="T5" s="4"/>
      <c r="U5" s="398" t="s">
        <v>44</v>
      </c>
      <c r="V5" s="400"/>
      <c r="W5" s="400"/>
      <c r="X5" s="400"/>
      <c r="Y5" s="399"/>
      <c r="Z5" s="4"/>
      <c r="AA5" s="483" t="s">
        <v>66</v>
      </c>
      <c r="AB5" s="483"/>
      <c r="AC5" s="483"/>
      <c r="AD5" s="4"/>
      <c r="AE5" s="495" t="s">
        <v>95</v>
      </c>
      <c r="AF5" s="496"/>
      <c r="AH5" s="37">
        <v>1</v>
      </c>
      <c r="AI5" s="37" t="s">
        <v>573</v>
      </c>
      <c r="AJ5" s="97" t="str">
        <f>'3 Inv Input'!G13</f>
        <v>N/A</v>
      </c>
      <c r="AK5" s="37">
        <f t="shared" ref="AK5:AK12" si="5">IF(AJ5="N/A",0,2)</f>
        <v>0</v>
      </c>
      <c r="AL5" s="37">
        <v>0</v>
      </c>
      <c r="AM5" s="37">
        <f t="shared" ref="AM5:AM12" si="6">IF(AJ5="N/A",0,1)</f>
        <v>0</v>
      </c>
      <c r="AN5" s="37">
        <f>IF('3 Inv Input'!$D$8=2017,$AF$22,$AF$22+33)</f>
        <v>25</v>
      </c>
      <c r="AO5" s="196" t="s">
        <v>86</v>
      </c>
      <c r="AP5" s="37" t="s">
        <v>115</v>
      </c>
      <c r="AQ5" s="37" t="s">
        <v>222</v>
      </c>
      <c r="AR5" s="200">
        <f t="shared" ref="AR5:AR19" si="7">IF(AP5="THWN",VLOOKUP(ROUNDUP(AN5,0),$U$8:$Y$83,3,FALSE),VLOOKUP(ROUNDUP(AN5,0),$U$8:$Y$83,4,FALSE))</f>
        <v>1.04</v>
      </c>
      <c r="AS5" s="200">
        <f t="shared" ref="AS5:AS19" si="8">IF(AO5="Free Air",1,LOOKUP(AK5,1/($R$8:$R$14&lt;=AK5)/($S$8:$S$14&gt;=AK5),$P$8:$P$14))</f>
        <v>1</v>
      </c>
      <c r="AT5" s="97">
        <f t="shared" si="0"/>
        <v>15</v>
      </c>
      <c r="AU5" s="97" t="s">
        <v>88</v>
      </c>
      <c r="AV5" s="200">
        <f t="shared" ref="AV5:AV19" si="9">ROUND(AT5*1.25,2)</f>
        <v>18.75</v>
      </c>
      <c r="AW5" s="308">
        <f t="shared" si="1"/>
        <v>14.42</v>
      </c>
      <c r="AX5" s="200">
        <f t="shared" ref="AX5:AX15" si="10">AW5</f>
        <v>14.42</v>
      </c>
      <c r="AY5" s="97">
        <f t="shared" si="2"/>
        <v>10</v>
      </c>
      <c r="AZ5" s="97" t="s">
        <v>51</v>
      </c>
      <c r="BA5" s="457"/>
      <c r="BB5" s="306">
        <f>'3 Inv VD'!AH34</f>
        <v>10</v>
      </c>
      <c r="BC5" s="261" t="str">
        <f>'3 Inv VD'!AI34</f>
        <v>-</v>
      </c>
      <c r="BD5" s="457"/>
      <c r="BE5" s="595"/>
      <c r="BF5" s="457"/>
      <c r="BG5" s="457"/>
      <c r="BH5" s="37">
        <f t="shared" si="4"/>
        <v>35</v>
      </c>
      <c r="BI5" s="37">
        <f t="shared" ref="BI5:BI19" si="11">ROUND(BH5*(AR5*AS5),2)</f>
        <v>36.4</v>
      </c>
      <c r="BJ5" s="37">
        <f t="shared" ref="BJ5:BJ19" si="12">IF(BB5=14,15,IF(BB5=12,20,IF(BB5=10,30,"N/A")))</f>
        <v>30</v>
      </c>
      <c r="BL5" s="245" t="s">
        <v>574</v>
      </c>
      <c r="BM5" s="31"/>
      <c r="BN5" s="527" t="s">
        <v>123</v>
      </c>
      <c r="BO5" s="528"/>
      <c r="BP5" s="529"/>
      <c r="BQ5" s="31"/>
      <c r="BR5" s="527" t="s">
        <v>124</v>
      </c>
      <c r="BS5" s="528"/>
      <c r="BT5" s="529"/>
      <c r="BU5" s="31"/>
      <c r="BV5" s="527" t="s">
        <v>124</v>
      </c>
      <c r="BW5" s="528"/>
      <c r="BX5" s="529"/>
      <c r="BZ5" s="527" t="s">
        <v>124</v>
      </c>
      <c r="CA5" s="528"/>
      <c r="CB5" s="529"/>
      <c r="CD5" s="5"/>
      <c r="CY5" s="5"/>
    </row>
    <row r="6" spans="2:103" ht="15" customHeight="1" x14ac:dyDescent="0.2">
      <c r="B6" s="57" t="s">
        <v>14</v>
      </c>
      <c r="C6" s="37" t="s">
        <v>54</v>
      </c>
      <c r="D6" s="37" t="s">
        <v>90</v>
      </c>
      <c r="E6" s="5"/>
      <c r="F6" s="471" t="s">
        <v>18</v>
      </c>
      <c r="G6" s="471"/>
      <c r="H6" s="14" t="s">
        <v>91</v>
      </c>
      <c r="I6" s="14" t="s">
        <v>90</v>
      </c>
      <c r="J6" s="2"/>
      <c r="K6" s="471" t="s">
        <v>18</v>
      </c>
      <c r="L6" s="471"/>
      <c r="M6" s="14" t="s">
        <v>91</v>
      </c>
      <c r="N6" s="14" t="s">
        <v>90</v>
      </c>
      <c r="O6" s="2"/>
      <c r="P6" s="482"/>
      <c r="Q6" s="482"/>
      <c r="R6" s="482"/>
      <c r="S6" s="482"/>
      <c r="T6" s="2"/>
      <c r="U6" s="540" t="s">
        <v>45</v>
      </c>
      <c r="V6" s="542" t="s">
        <v>46</v>
      </c>
      <c r="W6" s="543"/>
      <c r="X6" s="544"/>
      <c r="Y6" s="540" t="s">
        <v>47</v>
      </c>
      <c r="Z6" s="2"/>
      <c r="AA6" s="483"/>
      <c r="AB6" s="483"/>
      <c r="AC6" s="483"/>
      <c r="AD6" s="2"/>
      <c r="AE6" s="495"/>
      <c r="AF6" s="496"/>
      <c r="AH6" s="37">
        <v>1</v>
      </c>
      <c r="AI6" s="37" t="s">
        <v>575</v>
      </c>
      <c r="AJ6" s="97" t="str">
        <f>'3 Inv Input'!G14</f>
        <v>N/A</v>
      </c>
      <c r="AK6" s="37">
        <f t="shared" si="5"/>
        <v>0</v>
      </c>
      <c r="AL6" s="37">
        <v>0</v>
      </c>
      <c r="AM6" s="37">
        <f t="shared" si="6"/>
        <v>0</v>
      </c>
      <c r="AN6" s="37">
        <f>IF('3 Inv Input'!$D$8=2017,$AF$22,$AF$22+33)</f>
        <v>25</v>
      </c>
      <c r="AO6" s="196" t="s">
        <v>86</v>
      </c>
      <c r="AP6" s="37" t="s">
        <v>115</v>
      </c>
      <c r="AQ6" s="37" t="s">
        <v>222</v>
      </c>
      <c r="AR6" s="200">
        <f t="shared" si="7"/>
        <v>1.04</v>
      </c>
      <c r="AS6" s="200">
        <f t="shared" si="8"/>
        <v>1</v>
      </c>
      <c r="AT6" s="97">
        <f t="shared" si="0"/>
        <v>15</v>
      </c>
      <c r="AU6" s="97" t="s">
        <v>88</v>
      </c>
      <c r="AV6" s="200">
        <f t="shared" si="9"/>
        <v>18.75</v>
      </c>
      <c r="AW6" s="308">
        <f t="shared" si="1"/>
        <v>14.42</v>
      </c>
      <c r="AX6" s="200">
        <f t="shared" si="10"/>
        <v>14.42</v>
      </c>
      <c r="AY6" s="97">
        <f t="shared" si="2"/>
        <v>10</v>
      </c>
      <c r="AZ6" s="97" t="s">
        <v>51</v>
      </c>
      <c r="BA6" s="593"/>
      <c r="BB6" s="306">
        <f>'3 Inv VD'!AH35</f>
        <v>10</v>
      </c>
      <c r="BC6" s="261" t="str">
        <f>'3 Inv VD'!AI35</f>
        <v>-</v>
      </c>
      <c r="BD6" s="593"/>
      <c r="BE6" s="596"/>
      <c r="BF6" s="593"/>
      <c r="BG6" s="593"/>
      <c r="BH6" s="37">
        <f t="shared" si="4"/>
        <v>35</v>
      </c>
      <c r="BI6" s="37">
        <f t="shared" si="11"/>
        <v>36.4</v>
      </c>
      <c r="BJ6" s="37">
        <f t="shared" si="12"/>
        <v>30</v>
      </c>
      <c r="BL6" s="245" t="s">
        <v>576</v>
      </c>
      <c r="BM6" s="32"/>
      <c r="BN6" s="33" t="s">
        <v>125</v>
      </c>
      <c r="BO6" s="60" t="str">
        <f>'3 Inv Input'!D19</f>
        <v>P320</v>
      </c>
      <c r="BP6" s="93" t="s">
        <v>126</v>
      </c>
      <c r="BQ6" s="32"/>
      <c r="BR6" s="33" t="s">
        <v>127</v>
      </c>
      <c r="BS6" s="60" t="str">
        <f>'3 Inv Input'!G15</f>
        <v>SE3000H-US</v>
      </c>
      <c r="BT6" s="93" t="s">
        <v>126</v>
      </c>
      <c r="BU6" s="32"/>
      <c r="BV6" s="33" t="s">
        <v>127</v>
      </c>
      <c r="BW6" s="60" t="str">
        <f>'3 Inv Input'!K15</f>
        <v>SE3000H-US</v>
      </c>
      <c r="BX6" s="93" t="s">
        <v>126</v>
      </c>
      <c r="BZ6" s="33" t="s">
        <v>127</v>
      </c>
      <c r="CA6" s="60" t="str">
        <f>'3 Inv Input'!G25</f>
        <v>SE3000H-US</v>
      </c>
      <c r="CB6" s="93" t="s">
        <v>126</v>
      </c>
      <c r="CY6" s="5"/>
    </row>
    <row r="7" spans="2:103" ht="15" customHeight="1" x14ac:dyDescent="0.2">
      <c r="B7" s="252">
        <v>10</v>
      </c>
      <c r="C7" s="99">
        <v>1</v>
      </c>
      <c r="D7" s="99">
        <v>15</v>
      </c>
      <c r="E7" s="5"/>
      <c r="F7" s="510">
        <v>10</v>
      </c>
      <c r="G7" s="511"/>
      <c r="H7" s="15">
        <v>1</v>
      </c>
      <c r="I7" s="99">
        <v>20</v>
      </c>
      <c r="J7" s="5"/>
      <c r="K7" s="510">
        <v>10</v>
      </c>
      <c r="L7" s="511"/>
      <c r="M7" s="15">
        <v>1</v>
      </c>
      <c r="N7" s="99">
        <v>30</v>
      </c>
      <c r="O7" s="5"/>
      <c r="P7" s="471" t="s">
        <v>22</v>
      </c>
      <c r="Q7" s="471"/>
      <c r="R7" s="57" t="s">
        <v>54</v>
      </c>
      <c r="S7" s="57" t="s">
        <v>90</v>
      </c>
      <c r="T7" s="5"/>
      <c r="U7" s="541"/>
      <c r="V7" s="57" t="s">
        <v>48</v>
      </c>
      <c r="W7" s="57" t="s">
        <v>49</v>
      </c>
      <c r="X7" s="57" t="s">
        <v>50</v>
      </c>
      <c r="Y7" s="541"/>
      <c r="Z7" s="5"/>
      <c r="AA7" s="13" t="s">
        <v>67</v>
      </c>
      <c r="AB7" s="13" t="s">
        <v>54</v>
      </c>
      <c r="AC7" s="57" t="s">
        <v>90</v>
      </c>
      <c r="AD7" s="5"/>
      <c r="AE7" s="514" t="s">
        <v>96</v>
      </c>
      <c r="AF7" s="515"/>
      <c r="AH7" s="37">
        <v>2</v>
      </c>
      <c r="AI7" s="37" t="s">
        <v>577</v>
      </c>
      <c r="AJ7" s="97">
        <f>'3 Inv Input'!K12</f>
        <v>1</v>
      </c>
      <c r="AK7" s="37">
        <f t="shared" si="5"/>
        <v>2</v>
      </c>
      <c r="AL7" s="37">
        <v>0</v>
      </c>
      <c r="AM7" s="37">
        <f t="shared" si="6"/>
        <v>1</v>
      </c>
      <c r="AN7" s="37">
        <f>IF('3 Inv Input'!$D$8=2017,$AF$22,$AF$22+33)</f>
        <v>25</v>
      </c>
      <c r="AO7" s="196" t="s">
        <v>86</v>
      </c>
      <c r="AP7" s="37" t="s">
        <v>115</v>
      </c>
      <c r="AQ7" s="37" t="s">
        <v>222</v>
      </c>
      <c r="AR7" s="200">
        <f t="shared" si="7"/>
        <v>1.04</v>
      </c>
      <c r="AS7" s="200">
        <f t="shared" si="8"/>
        <v>1</v>
      </c>
      <c r="AT7" s="97">
        <f t="shared" si="0"/>
        <v>15</v>
      </c>
      <c r="AU7" s="97" t="s">
        <v>88</v>
      </c>
      <c r="AV7" s="200">
        <f t="shared" si="9"/>
        <v>18.75</v>
      </c>
      <c r="AW7" s="308">
        <f t="shared" si="1"/>
        <v>14.42</v>
      </c>
      <c r="AX7" s="200">
        <f t="shared" si="10"/>
        <v>14.42</v>
      </c>
      <c r="AY7" s="97">
        <f t="shared" si="2"/>
        <v>10</v>
      </c>
      <c r="AZ7" s="97" t="s">
        <v>51</v>
      </c>
      <c r="BA7" s="597">
        <f t="shared" ref="BA7" si="13">IF(AO7="Free Air",6,LOOKUP(AX7,1/($C$7:$C$25&lt;=AX7)/($D$7:$D$25&gt;=AX7),$B$7:$B$25))</f>
        <v>6</v>
      </c>
      <c r="BB7" s="306">
        <f>'3 Inv VD'!AH36</f>
        <v>10</v>
      </c>
      <c r="BC7" s="261" t="str">
        <f>'3 Inv VD'!AI36</f>
        <v>-</v>
      </c>
      <c r="BD7" s="592">
        <f>'3 Inv VD'!AJ36</f>
        <v>6</v>
      </c>
      <c r="BE7" s="594">
        <f>(AK7*(VLOOKUP(BB7,$P$27:$S$50,3,FALSE)))+(AM7*(VLOOKUP(BD7,$P$27:$S$50,3,FALSE)))+(AK8*(VLOOKUP(BB8,$P$27:$S$50,3,FALSE)))+(AK9*(VLOOKUP(BB9,$P$27:$S$50,3,FALSE)))</f>
        <v>9.290000000000001E-2</v>
      </c>
      <c r="BF7" s="597">
        <f t="shared" si="3"/>
        <v>0.75</v>
      </c>
      <c r="BG7" s="597" t="s">
        <v>94</v>
      </c>
      <c r="BH7" s="37">
        <f t="shared" si="4"/>
        <v>35</v>
      </c>
      <c r="BI7" s="37">
        <f t="shared" si="11"/>
        <v>36.4</v>
      </c>
      <c r="BJ7" s="37">
        <f t="shared" si="12"/>
        <v>30</v>
      </c>
      <c r="BL7" s="246" t="s">
        <v>578</v>
      </c>
      <c r="BN7" s="453" t="s">
        <v>128</v>
      </c>
      <c r="BO7" s="454"/>
      <c r="BP7" s="455"/>
      <c r="BR7" s="453" t="s">
        <v>128</v>
      </c>
      <c r="BS7" s="454"/>
      <c r="BT7" s="455"/>
      <c r="BV7" s="453" t="s">
        <v>128</v>
      </c>
      <c r="BW7" s="454"/>
      <c r="BX7" s="455"/>
      <c r="BZ7" s="453" t="s">
        <v>128</v>
      </c>
      <c r="CA7" s="454"/>
      <c r="CB7" s="455"/>
      <c r="CD7" s="93" t="s">
        <v>191</v>
      </c>
      <c r="CE7" s="93" t="s">
        <v>203</v>
      </c>
      <c r="CY7" s="5"/>
    </row>
    <row r="8" spans="2:103" ht="15" customHeight="1" x14ac:dyDescent="0.2">
      <c r="B8" s="253">
        <v>10</v>
      </c>
      <c r="C8" s="91">
        <v>15.000999999999999</v>
      </c>
      <c r="D8" s="91">
        <v>20</v>
      </c>
      <c r="E8" s="5"/>
      <c r="F8" s="516">
        <v>10</v>
      </c>
      <c r="G8" s="517"/>
      <c r="H8" s="16">
        <v>20.001000000000001</v>
      </c>
      <c r="I8" s="91">
        <v>25</v>
      </c>
      <c r="J8" s="5"/>
      <c r="K8" s="516">
        <v>10</v>
      </c>
      <c r="L8" s="517"/>
      <c r="M8" s="16">
        <v>30.001000000000001</v>
      </c>
      <c r="N8" s="91">
        <v>35</v>
      </c>
      <c r="O8" s="5"/>
      <c r="P8" s="518">
        <v>1</v>
      </c>
      <c r="Q8" s="519"/>
      <c r="R8" s="201">
        <v>1</v>
      </c>
      <c r="S8" s="15">
        <v>3</v>
      </c>
      <c r="T8" s="5"/>
      <c r="U8" s="15">
        <v>10</v>
      </c>
      <c r="V8" s="7">
        <v>1.29</v>
      </c>
      <c r="W8" s="8">
        <v>1.2</v>
      </c>
      <c r="X8" s="7">
        <v>1.1499999999999999</v>
      </c>
      <c r="Y8" s="15">
        <v>50</v>
      </c>
      <c r="Z8" s="5"/>
      <c r="AA8" s="15">
        <v>15</v>
      </c>
      <c r="AB8" s="15">
        <v>1</v>
      </c>
      <c r="AC8" s="99">
        <v>15</v>
      </c>
      <c r="AD8" s="5"/>
      <c r="AE8" s="514"/>
      <c r="AF8" s="515"/>
      <c r="AH8" s="37">
        <v>2</v>
      </c>
      <c r="AI8" s="37" t="s">
        <v>579</v>
      </c>
      <c r="AJ8" s="97" t="str">
        <f>'3 Inv Input'!K13</f>
        <v>N/A</v>
      </c>
      <c r="AK8" s="37">
        <f t="shared" si="5"/>
        <v>0</v>
      </c>
      <c r="AL8" s="37">
        <v>0</v>
      </c>
      <c r="AM8" s="37">
        <f t="shared" si="6"/>
        <v>0</v>
      </c>
      <c r="AN8" s="37">
        <f>IF('3 Inv Input'!$D$8=2017,$AF$22,$AF$22+33)</f>
        <v>25</v>
      </c>
      <c r="AO8" s="196" t="s">
        <v>86</v>
      </c>
      <c r="AP8" s="37" t="s">
        <v>115</v>
      </c>
      <c r="AQ8" s="37" t="s">
        <v>222</v>
      </c>
      <c r="AR8" s="200">
        <f t="shared" si="7"/>
        <v>1.04</v>
      </c>
      <c r="AS8" s="200">
        <f t="shared" si="8"/>
        <v>1</v>
      </c>
      <c r="AT8" s="97">
        <f t="shared" si="0"/>
        <v>15</v>
      </c>
      <c r="AU8" s="97" t="s">
        <v>88</v>
      </c>
      <c r="AV8" s="200">
        <f t="shared" si="9"/>
        <v>18.75</v>
      </c>
      <c r="AW8" s="308">
        <f t="shared" si="1"/>
        <v>14.42</v>
      </c>
      <c r="AX8" s="200">
        <f t="shared" si="10"/>
        <v>14.42</v>
      </c>
      <c r="AY8" s="97">
        <f t="shared" si="2"/>
        <v>10</v>
      </c>
      <c r="AZ8" s="97" t="s">
        <v>51</v>
      </c>
      <c r="BA8" s="457"/>
      <c r="BB8" s="306">
        <f>'3 Inv VD'!AH37</f>
        <v>10</v>
      </c>
      <c r="BC8" s="261" t="str">
        <f>'3 Inv VD'!AI37</f>
        <v>-</v>
      </c>
      <c r="BD8" s="457"/>
      <c r="BE8" s="595"/>
      <c r="BF8" s="457"/>
      <c r="BG8" s="457"/>
      <c r="BH8" s="37">
        <f t="shared" si="4"/>
        <v>35</v>
      </c>
      <c r="BI8" s="37">
        <f t="shared" si="11"/>
        <v>36.4</v>
      </c>
      <c r="BJ8" s="37">
        <f t="shared" si="12"/>
        <v>30</v>
      </c>
      <c r="BL8" s="246" t="s">
        <v>580</v>
      </c>
      <c r="BN8" s="34" t="s">
        <v>129</v>
      </c>
      <c r="BO8" s="94">
        <f>IF(BO6="P300",300,IF(BO6="P320",320,IF(BO6="P370",370,IF(BO6="P400",400,IF(BO6="P405",405,IF(BO6="P505",505,))))))</f>
        <v>320</v>
      </c>
      <c r="BP8" s="101" t="s">
        <v>130</v>
      </c>
      <c r="BR8" s="34" t="s">
        <v>131</v>
      </c>
      <c r="BS8" s="94">
        <f>IF(BS6="SE3000H-US",4650,IF(BS6="SE3800H-US",5900,IF(BS6="SE5000H-US",7750,IF(BS6="SE6000H-US",9300,IF(BS6="SE7600H-US",11800,IF(BS6="SE3000A-US",4050,IF(BS6="SE3800A-US",5100,IF(BS6="SE5000A-US",6750,IF(BS6="SE6000A-US",8100,IF(BS6="SE7600A-US",10250,IF(BS6="SE10000A-US",13500,IF(BS6="SE11400A-US",15350,IF(BS6="SE10000H-US",15500,IF(BS6="SE11400H-US","17650",))))))))))))))</f>
        <v>4650</v>
      </c>
      <c r="BT8" s="101" t="s">
        <v>130</v>
      </c>
      <c r="BV8" s="34" t="s">
        <v>131</v>
      </c>
      <c r="BW8" s="94">
        <f>IF(BW6="SE3000H-US",4650,IF(BW6="SE3800H-US",5900,IF(BW6="SE5000H-US",7750,IF(BW6="SE6000H-US",9300,IF(BW6="SE7600H-US",11800,IF(BW6="SE3000A-US",4050,IF(BW6="SE3800A-US",5100,IF(BW6="SE5000A-US",6750,IF(BW6="SE6000A-US",8100,IF(BW6="SE7600A-US",10250,IF(BW6="SE10000A-US",13500,IF(BW6="SE11400A-US",15350,IF(BW6="SE10000H-US",15500,IF(BW6="SE11400H-US","17650",))))))))))))))</f>
        <v>4650</v>
      </c>
      <c r="BX8" s="101" t="s">
        <v>130</v>
      </c>
      <c r="BZ8" s="34" t="s">
        <v>131</v>
      </c>
      <c r="CA8" s="94">
        <f>IF(CA6="SE3000H-US",4650,IF(CA6="SE3800H-US",5900,IF(CA6="SE5000H-US",7750,IF(CA6="SE6000H-US",9300,IF(CA6="SE7600H-US",11800,IF(CA6="SE3000A-US",4050,IF(CA6="SE3800A-US",5100,IF(CA6="SE5000A-US",6750,IF(CA6="SE6000A-US",8100,IF(CA6="SE7600A-US",10250,IF(CA6="SE10000A-US",13500,IF(CA6="SE11400A-US",15350,IF(CA6="SE10000H-US",15500,IF(CA6="SE11400H-US","17650",))))))))))))))</f>
        <v>4650</v>
      </c>
      <c r="CB8" s="101" t="s">
        <v>130</v>
      </c>
      <c r="CD8" s="97">
        <f>BS19</f>
        <v>12.5</v>
      </c>
      <c r="CE8" s="29">
        <f>CD8*1.25</f>
        <v>15.625</v>
      </c>
      <c r="CY8" s="5"/>
    </row>
    <row r="9" spans="2:103" ht="15" customHeight="1" x14ac:dyDescent="0.2">
      <c r="B9" s="16">
        <v>10</v>
      </c>
      <c r="C9" s="91">
        <v>20.001000000000001</v>
      </c>
      <c r="D9" s="91">
        <v>60</v>
      </c>
      <c r="E9" s="5"/>
      <c r="F9" s="462">
        <v>10</v>
      </c>
      <c r="G9" s="451"/>
      <c r="H9" s="16">
        <v>25.001000000000001</v>
      </c>
      <c r="I9" s="91">
        <v>35</v>
      </c>
      <c r="J9" s="5"/>
      <c r="K9" s="462">
        <v>10</v>
      </c>
      <c r="L9" s="451"/>
      <c r="M9" s="16">
        <v>35.000999999999998</v>
      </c>
      <c r="N9" s="91">
        <v>50</v>
      </c>
      <c r="O9" s="5"/>
      <c r="P9" s="499">
        <v>0.8</v>
      </c>
      <c r="Q9" s="500"/>
      <c r="R9" s="5">
        <v>4</v>
      </c>
      <c r="S9" s="16">
        <v>6</v>
      </c>
      <c r="T9" s="5"/>
      <c r="U9" s="16">
        <v>11</v>
      </c>
      <c r="V9" s="9">
        <v>1.22</v>
      </c>
      <c r="W9" s="10">
        <v>1.1499999999999999</v>
      </c>
      <c r="X9" s="9">
        <v>1.1200000000000001</v>
      </c>
      <c r="Y9" s="16">
        <v>51.8</v>
      </c>
      <c r="Z9" s="5"/>
      <c r="AA9" s="16">
        <v>20</v>
      </c>
      <c r="AB9" s="16">
        <v>15.000999999999999</v>
      </c>
      <c r="AC9" s="91">
        <v>20</v>
      </c>
      <c r="AD9" s="5"/>
      <c r="AE9" s="514"/>
      <c r="AF9" s="515"/>
      <c r="AH9" s="37">
        <v>2</v>
      </c>
      <c r="AI9" s="37" t="s">
        <v>583</v>
      </c>
      <c r="AJ9" s="97" t="str">
        <f>'3 Inv Input'!K14</f>
        <v>N/A</v>
      </c>
      <c r="AK9" s="37">
        <f t="shared" si="5"/>
        <v>0</v>
      </c>
      <c r="AL9" s="37">
        <v>0</v>
      </c>
      <c r="AM9" s="37">
        <f t="shared" si="6"/>
        <v>0</v>
      </c>
      <c r="AN9" s="37">
        <f>IF('3 Inv Input'!$D$8=2017,$AF$22,$AF$22+33)</f>
        <v>25</v>
      </c>
      <c r="AO9" s="196" t="s">
        <v>86</v>
      </c>
      <c r="AP9" s="37" t="s">
        <v>115</v>
      </c>
      <c r="AQ9" s="37" t="s">
        <v>222</v>
      </c>
      <c r="AR9" s="200">
        <f t="shared" si="7"/>
        <v>1.04</v>
      </c>
      <c r="AS9" s="200">
        <f t="shared" si="8"/>
        <v>1</v>
      </c>
      <c r="AT9" s="97">
        <f t="shared" si="0"/>
        <v>15</v>
      </c>
      <c r="AU9" s="97" t="s">
        <v>88</v>
      </c>
      <c r="AV9" s="200">
        <f t="shared" si="9"/>
        <v>18.75</v>
      </c>
      <c r="AW9" s="308">
        <f t="shared" si="1"/>
        <v>14.42</v>
      </c>
      <c r="AX9" s="200">
        <f t="shared" si="10"/>
        <v>14.42</v>
      </c>
      <c r="AY9" s="97">
        <f t="shared" si="2"/>
        <v>10</v>
      </c>
      <c r="AZ9" s="97" t="s">
        <v>51</v>
      </c>
      <c r="BA9" s="593"/>
      <c r="BB9" s="306">
        <f>'3 Inv VD'!AH38</f>
        <v>10</v>
      </c>
      <c r="BC9" s="261" t="str">
        <f>'3 Inv VD'!AI38</f>
        <v>-</v>
      </c>
      <c r="BD9" s="593"/>
      <c r="BE9" s="596"/>
      <c r="BF9" s="593"/>
      <c r="BG9" s="593"/>
      <c r="BH9" s="37">
        <f t="shared" si="4"/>
        <v>35</v>
      </c>
      <c r="BI9" s="37">
        <f t="shared" si="11"/>
        <v>36.4</v>
      </c>
      <c r="BJ9" s="37">
        <f t="shared" si="12"/>
        <v>30</v>
      </c>
      <c r="BL9" s="245" t="s">
        <v>578</v>
      </c>
      <c r="BN9" s="456" t="s">
        <v>132</v>
      </c>
      <c r="BO9" s="457">
        <f>IF(BO6="P300",48,IF(BO6="P320",48,IF(BO6="P370",60,IF(BO6="P400",80,IF(BO6="P405",125,IF(BO6="P505",83,))))))</f>
        <v>48</v>
      </c>
      <c r="BP9" s="457" t="s">
        <v>133</v>
      </c>
      <c r="BR9" s="35" t="s">
        <v>134</v>
      </c>
      <c r="BS9" s="94">
        <f>IF(BS6="SE3000H-US",480,IF(BS6="SE3800H-US",480,IF(BS6="SE5000H-US",480,IF(BS6="SE6000H-US",480,IF(BS6="SE7600H-US",480,IF(BS6="SE3000A-US",500,IF(BS6="SE3800A-US",500,IF(BS6="SE5000A-US",500,IF(BS6="SE6000A-US",500,IF(BS6="SE7600A-US",500,IF(BS6="SE10000A-US",500,IF(BS6="SE11400A-US",500,IF(BS6="SE10000H-US",480,IF(BS6="SE11400H-US","480",))))))))))))))</f>
        <v>480</v>
      </c>
      <c r="BT9" s="36" t="s">
        <v>133</v>
      </c>
      <c r="BV9" s="35" t="s">
        <v>134</v>
      </c>
      <c r="BW9" s="94">
        <f>IF(BW6="SE3000H-US",480,IF(BW6="SE3800H-US",480,IF(BW6="SE5000H-US",480,IF(BW6="SE6000H-US",480,IF(BW6="SE7600H-US",480,IF(BW6="SE3000A-US",500,IF(BW6="SE3800A-US",500,IF(BW6="SE5000A-US",500,IF(BW6="SE6000A-US",500,IF(BW6="SE7600A-US",500,IF(BW6="SE10000A-US",500,IF(BW6="SE11400A-US",500,IF(BW6="SE10000H-US",480,IF(BW6="SE11400H-US","480",))))))))))))))</f>
        <v>480</v>
      </c>
      <c r="BX9" s="36" t="s">
        <v>133</v>
      </c>
      <c r="BZ9" s="35" t="s">
        <v>134</v>
      </c>
      <c r="CA9" s="94">
        <f>IF(CA6="SE3000H-US",480,IF(CA6="SE3800H-US",480,IF(CA6="SE5000H-US",480,IF(CA6="SE6000H-US",480,IF(CA6="SE7600H-US",480,IF(CA6="SE3000A-US",500,IF(CA6="SE3800A-US",500,IF(CA6="SE5000A-US",500,IF(CA6="SE6000A-US",500,IF(CA6="SE7600A-US",500,IF(CA6="SE10000A-US",500,IF(CA6="SE11400A-US",500,IF(CA6="SE10000H-US",480,IF(CA6="SE11400H-US","480",))))))))))))))</f>
        <v>480</v>
      </c>
      <c r="CB9" s="36" t="s">
        <v>133</v>
      </c>
      <c r="CD9" s="97">
        <f>BW19</f>
        <v>12.5</v>
      </c>
      <c r="CE9" s="29">
        <f>CD9*1.25</f>
        <v>15.625</v>
      </c>
      <c r="CY9" s="5"/>
    </row>
    <row r="10" spans="2:103" ht="15" customHeight="1" x14ac:dyDescent="0.2">
      <c r="B10" s="16">
        <v>8</v>
      </c>
      <c r="C10" s="91">
        <v>60.000999999999998</v>
      </c>
      <c r="D10" s="91">
        <v>100</v>
      </c>
      <c r="E10" s="5"/>
      <c r="F10" s="462">
        <v>8</v>
      </c>
      <c r="G10" s="451"/>
      <c r="H10" s="16">
        <v>35.000999999999998</v>
      </c>
      <c r="I10" s="91">
        <v>50</v>
      </c>
      <c r="J10" s="5"/>
      <c r="K10" s="462">
        <v>8</v>
      </c>
      <c r="L10" s="451"/>
      <c r="M10" s="16">
        <v>50.000999999999998</v>
      </c>
      <c r="N10" s="91">
        <v>70</v>
      </c>
      <c r="O10" s="5"/>
      <c r="P10" s="499">
        <v>0.7</v>
      </c>
      <c r="Q10" s="500"/>
      <c r="R10" s="5">
        <v>7</v>
      </c>
      <c r="S10" s="16">
        <v>9</v>
      </c>
      <c r="T10" s="5"/>
      <c r="U10" s="16">
        <v>12</v>
      </c>
      <c r="V10" s="9">
        <v>1.22</v>
      </c>
      <c r="W10" s="10">
        <v>1.1499999999999999</v>
      </c>
      <c r="X10" s="9">
        <v>1.1200000000000001</v>
      </c>
      <c r="Y10" s="16">
        <v>53.6</v>
      </c>
      <c r="Z10" s="5"/>
      <c r="AA10" s="16">
        <v>25</v>
      </c>
      <c r="AB10" s="16">
        <v>20.001000000000001</v>
      </c>
      <c r="AC10" s="91">
        <v>25</v>
      </c>
      <c r="AD10" s="5"/>
      <c r="AE10" s="514"/>
      <c r="AF10" s="515"/>
      <c r="AH10" s="37">
        <v>3</v>
      </c>
      <c r="AI10" s="37" t="s">
        <v>658</v>
      </c>
      <c r="AJ10" s="97">
        <f>'3 Inv Input'!G22</f>
        <v>1</v>
      </c>
      <c r="AK10" s="37">
        <f t="shared" si="5"/>
        <v>2</v>
      </c>
      <c r="AL10" s="37">
        <v>0</v>
      </c>
      <c r="AM10" s="37">
        <f t="shared" si="6"/>
        <v>1</v>
      </c>
      <c r="AN10" s="37">
        <f>IF('3 Inv Input'!$D$8=2017,$AF$22,$AF$22+33)</f>
        <v>25</v>
      </c>
      <c r="AO10" s="196" t="s">
        <v>86</v>
      </c>
      <c r="AP10" s="37" t="s">
        <v>115</v>
      </c>
      <c r="AQ10" s="37" t="s">
        <v>222</v>
      </c>
      <c r="AR10" s="200">
        <f t="shared" si="7"/>
        <v>1.04</v>
      </c>
      <c r="AS10" s="200">
        <f t="shared" si="8"/>
        <v>1</v>
      </c>
      <c r="AT10" s="97">
        <f t="shared" si="0"/>
        <v>15</v>
      </c>
      <c r="AU10" s="97" t="s">
        <v>88</v>
      </c>
      <c r="AV10" s="200">
        <f t="shared" si="9"/>
        <v>18.75</v>
      </c>
      <c r="AW10" s="308">
        <f t="shared" si="1"/>
        <v>14.42</v>
      </c>
      <c r="AX10" s="200">
        <f t="shared" si="10"/>
        <v>14.42</v>
      </c>
      <c r="AY10" s="97">
        <f t="shared" si="2"/>
        <v>10</v>
      </c>
      <c r="AZ10" s="97" t="s">
        <v>51</v>
      </c>
      <c r="BA10" s="597">
        <f t="shared" ref="BA10" si="14">IF(AO10="Free Air",6,LOOKUP(AX10,1/($C$7:$C$25&lt;=AX10)/($D$7:$D$25&gt;=AX10),$B$7:$B$25))</f>
        <v>6</v>
      </c>
      <c r="BB10" s="306">
        <f>'3 Inv VD'!AH39</f>
        <v>10</v>
      </c>
      <c r="BC10" s="261" t="str">
        <f>'3 Inv VD'!AI39</f>
        <v>-</v>
      </c>
      <c r="BD10" s="592">
        <f>'3 Inv VD'!AJ39</f>
        <v>6</v>
      </c>
      <c r="BE10" s="594">
        <f>(AK10*(VLOOKUP(BB10,$P$27:$S$50,3,FALSE)))+(AM10*(VLOOKUP(BD10,$P$27:$S$50,3,FALSE)))+(AK11*(VLOOKUP(BB11,$P$27:$S$50,3,FALSE)))+(AK12*(VLOOKUP(BB12,$P$27:$S$50,3,FALSE)))</f>
        <v>9.290000000000001E-2</v>
      </c>
      <c r="BF10" s="597">
        <f t="shared" ref="BF10" si="15">IF(BE10&lt;$S$57,$P$57,IF(AND(BE10&gt;$S$57,BE10&lt;$S$58),$P$58,IF(AND(BE10&gt;$S$58,BE10&lt;$S$59),$P$59,IF(AND(BE10&gt;$S$59,BE10&lt;$S$60),$P$60,IF(AND(BE10&gt;$S$60,BE10&lt;$S$61),$P$61,IF(AND(BE10&gt;$S$61,BE10&lt;$S$62),$P$62,IF(AND(BE10&gt;$S$62,BE10&lt;$S$63),$P$63,IF(AND(BE10&gt;$S$63,BE10&lt;$S$64),$P$64,IF(AND(BE10&gt;$S$64,BE10&lt;$S$65),$P$65,IF(AND(BE10&gt;$S$65,BE10&lt;$S$66),$P$66,"Error"))))))))))</f>
        <v>0.75</v>
      </c>
      <c r="BG10" s="597" t="s">
        <v>94</v>
      </c>
      <c r="BH10" s="37">
        <f t="shared" si="4"/>
        <v>35</v>
      </c>
      <c r="BI10" s="37">
        <f t="shared" si="11"/>
        <v>36.4</v>
      </c>
      <c r="BJ10" s="37">
        <f t="shared" si="12"/>
        <v>30</v>
      </c>
      <c r="BL10" s="245" t="s">
        <v>585</v>
      </c>
      <c r="BN10" s="456"/>
      <c r="BO10" s="457"/>
      <c r="BP10" s="457"/>
      <c r="BR10" s="38" t="s">
        <v>136</v>
      </c>
      <c r="BS10" s="39">
        <f>IF(BS6="SE3000H-US",380,IF(BS6="SE3800H-US",380,IF(BS6="SE5000H-US",380,IF(BS6="SE6000H-US",380,IF(BS6="SE7600H-US",400,IF(BS6="SE3000A-US",350,IF(BS6="SE3800A-US",350,IF(BS6="SE5000A-US",350,IF(BS6="SE6000A-US",350,IF(BS6="SE7600A-US",350,IF(BS6="SE10000A-US",350,IF(BS6="SE11400A-US",350,IF(BS6="SE10000H-US",400,IF(BS6="SE11400H-US","400",))))))))))))))</f>
        <v>380</v>
      </c>
      <c r="BT10" s="90" t="s">
        <v>133</v>
      </c>
      <c r="BV10" s="38" t="s">
        <v>136</v>
      </c>
      <c r="BW10" s="39">
        <f>IF(BW6="SE3000H-US",380,IF(BW6="SE3800H-US",380,IF(BW6="SE5000H-US",380,IF(BW6="SE6000H-US",380,IF(BW6="SE7600H-US",400,IF(BW6="SE3000A-US",350,IF(BW6="SE3800A-US",350,IF(BW6="SE5000A-US",350,IF(BW6="SE6000A-US",350,IF(BW6="SE7600A-US",350,IF(BW6="SE10000A-US",350,IF(BW6="SE11400A-US",350,IF(BW6="SE10000H-US",400,IF(BW6="SE11400H-US","400",))))))))))))))</f>
        <v>380</v>
      </c>
      <c r="BX10" s="90" t="s">
        <v>133</v>
      </c>
      <c r="BZ10" s="38" t="s">
        <v>136</v>
      </c>
      <c r="CA10" s="39">
        <f>IF(CA6="SE3000H-US",380,IF(CA6="SE3800H-US",380,IF(CA6="SE5000H-US",380,IF(CA6="SE6000H-US",380,IF(CA6="SE7600H-US",400,IF(CA6="SE3000A-US",350,IF(CA6="SE3800A-US",350,IF(CA6="SE5000A-US",350,IF(CA6="SE6000A-US",350,IF(CA6="SE7600A-US",350,IF(CA6="SE10000A-US",350,IF(CA6="SE11400A-US",350,IF(CA6="SE10000H-US",400,IF(CA6="SE11400H-US","400",))))))))))))))</f>
        <v>380</v>
      </c>
      <c r="CB10" s="90" t="s">
        <v>133</v>
      </c>
      <c r="CD10" s="97">
        <f>CA19</f>
        <v>12.5</v>
      </c>
      <c r="CE10" s="29">
        <f>CD10*1.25</f>
        <v>15.625</v>
      </c>
      <c r="CY10" s="5"/>
    </row>
    <row r="11" spans="2:103" ht="15" customHeight="1" x14ac:dyDescent="0.2">
      <c r="B11" s="16">
        <v>6</v>
      </c>
      <c r="C11" s="91">
        <v>100.001</v>
      </c>
      <c r="D11" s="91">
        <v>200</v>
      </c>
      <c r="E11" s="5"/>
      <c r="F11" s="462">
        <v>6</v>
      </c>
      <c r="G11" s="451"/>
      <c r="H11" s="16">
        <v>50.000999999999998</v>
      </c>
      <c r="I11" s="91">
        <v>65</v>
      </c>
      <c r="J11" s="5"/>
      <c r="K11" s="462">
        <v>6</v>
      </c>
      <c r="L11" s="451"/>
      <c r="M11" s="16">
        <v>70.001000000000005</v>
      </c>
      <c r="N11" s="91">
        <v>95</v>
      </c>
      <c r="O11" s="5"/>
      <c r="P11" s="499">
        <v>0.5</v>
      </c>
      <c r="Q11" s="500"/>
      <c r="R11" s="5">
        <v>10</v>
      </c>
      <c r="S11" s="16">
        <v>20</v>
      </c>
      <c r="T11" s="5"/>
      <c r="U11" s="16">
        <v>13</v>
      </c>
      <c r="V11" s="9">
        <v>1.22</v>
      </c>
      <c r="W11" s="10">
        <v>1.1499999999999999</v>
      </c>
      <c r="X11" s="9">
        <v>1.1200000000000001</v>
      </c>
      <c r="Y11" s="16">
        <v>55.400000000000006</v>
      </c>
      <c r="Z11" s="5"/>
      <c r="AA11" s="16">
        <v>30</v>
      </c>
      <c r="AB11" s="16">
        <v>25.001000000000001</v>
      </c>
      <c r="AC11" s="91">
        <v>30</v>
      </c>
      <c r="AD11" s="5"/>
      <c r="AE11" s="486" t="s">
        <v>94</v>
      </c>
      <c r="AF11" s="487"/>
      <c r="AH11" s="37">
        <v>3</v>
      </c>
      <c r="AI11" s="37" t="s">
        <v>659</v>
      </c>
      <c r="AJ11" s="97" t="str">
        <f>'3 Inv Input'!G23</f>
        <v>N/A</v>
      </c>
      <c r="AK11" s="37">
        <f t="shared" si="5"/>
        <v>0</v>
      </c>
      <c r="AL11" s="37">
        <v>0</v>
      </c>
      <c r="AM11" s="37">
        <f t="shared" si="6"/>
        <v>0</v>
      </c>
      <c r="AN11" s="37">
        <f>IF('3 Inv Input'!$D$8=2017,$AF$22,$AF$22+33)</f>
        <v>25</v>
      </c>
      <c r="AO11" s="196" t="s">
        <v>86</v>
      </c>
      <c r="AP11" s="37" t="s">
        <v>115</v>
      </c>
      <c r="AQ11" s="37" t="s">
        <v>222</v>
      </c>
      <c r="AR11" s="200">
        <f t="shared" si="7"/>
        <v>1.04</v>
      </c>
      <c r="AS11" s="200">
        <f t="shared" si="8"/>
        <v>1</v>
      </c>
      <c r="AT11" s="97">
        <f t="shared" si="0"/>
        <v>15</v>
      </c>
      <c r="AU11" s="97" t="s">
        <v>88</v>
      </c>
      <c r="AV11" s="200">
        <f t="shared" si="9"/>
        <v>18.75</v>
      </c>
      <c r="AW11" s="308">
        <f t="shared" si="1"/>
        <v>14.42</v>
      </c>
      <c r="AX11" s="200">
        <f t="shared" si="10"/>
        <v>14.42</v>
      </c>
      <c r="AY11" s="97">
        <f t="shared" si="2"/>
        <v>10</v>
      </c>
      <c r="AZ11" s="97" t="s">
        <v>51</v>
      </c>
      <c r="BA11" s="457"/>
      <c r="BB11" s="306">
        <f>'3 Inv VD'!AH40</f>
        <v>10</v>
      </c>
      <c r="BC11" s="261" t="str">
        <f>'3 Inv VD'!AI40</f>
        <v>-</v>
      </c>
      <c r="BD11" s="457"/>
      <c r="BE11" s="595"/>
      <c r="BF11" s="457"/>
      <c r="BG11" s="457"/>
      <c r="BH11" s="37">
        <f t="shared" si="4"/>
        <v>35</v>
      </c>
      <c r="BI11" s="37">
        <f t="shared" si="11"/>
        <v>36.4</v>
      </c>
      <c r="BJ11" s="37">
        <f t="shared" si="12"/>
        <v>30</v>
      </c>
      <c r="BL11" s="245" t="s">
        <v>587</v>
      </c>
      <c r="BN11" s="35" t="s">
        <v>139</v>
      </c>
      <c r="BO11" s="94" t="str">
        <f>IF(BO6="P300","8 - 48",IF(BO6="P320","8 - 48",IF(BO6="P370","8 - 60",IF(BO6="P400","8 - 80",IF(BO6="P405","12.5 - 105",IF(BO6="P505","12.5 - 83",))))))</f>
        <v>8 - 48</v>
      </c>
      <c r="BP11" s="36" t="s">
        <v>133</v>
      </c>
      <c r="BR11" s="35" t="s">
        <v>140</v>
      </c>
      <c r="BS11" s="94">
        <f>IF(BS6="SE3000H-US",8.5,IF(BS6="SE3800H-US",10.5,IF(BS6="SE5000H-US",13.5,IF(BS6="SE6000H-US",16.5,IF(BS6="SE7600H-US",20,IF(BS6="SE3000A-US",9.5,IF(BS6="SE3800A-US",13,IF(BS6="SE5000A-US",15.5,IF(BS6="SE6000A-US",18,IF(BS6="SE7600A-US",23,IF(BS6="SE10000A-US",30.5,IF(BS6="SE11400A-US",34.5,IF(BS6="SE10000H-US",27,IF(BS6="SE11400H-US","30.5",))))))))))))))</f>
        <v>8.5</v>
      </c>
      <c r="BT11" s="36" t="s">
        <v>141</v>
      </c>
      <c r="BV11" s="35" t="s">
        <v>140</v>
      </c>
      <c r="BW11" s="94">
        <f>IF(BW6="SE3000H-US",8.5,IF(BW6="SE3800H-US",10.5,IF(BW6="SE5000H-US",13.5,IF(BW6="SE6000H-US",16.5,IF(BW6="SE7600H-US",20,IF(BW6="SE3000A-US",9.5,IF(BW6="SE3800A-US",13,IF(BW6="SE5000A-US",15.5,IF(BW6="SE6000A-US",18,IF(BW6="SE7600A-US",23,IF(BW6="SE10000A-US",30.5,IF(BW6="SE11400A-US",34.5,IF(BW6="SE10000H-US",27,IF(BW6="SE11400H-US","30.5",))))))))))))))</f>
        <v>8.5</v>
      </c>
      <c r="BX11" s="36" t="s">
        <v>141</v>
      </c>
      <c r="BZ11" s="35" t="s">
        <v>140</v>
      </c>
      <c r="CA11" s="94">
        <f>IF(CA6="SE3000H-US",8.5,IF(CA6="SE3800H-US",10.5,IF(CA6="SE5000H-US",13.5,IF(CA6="SE6000H-US",16.5,IF(CA6="SE7600H-US",20,IF(CA6="SE3000A-US",9.5,IF(CA6="SE3800A-US",13,IF(CA6="SE5000A-US",15.5,IF(CA6="SE6000A-US",18,IF(CA6="SE7600A-US",23,IF(CA6="SE10000A-US",30.5,IF(CA6="SE11400A-US",34.5,IF(CA6="SE10000H-US",27,IF(CA6="SE11400H-US","30.5",))))))))))))))</f>
        <v>8.5</v>
      </c>
      <c r="CB11" s="36" t="s">
        <v>141</v>
      </c>
      <c r="CD11" s="37">
        <f>SUM(CD8:CD10)</f>
        <v>37.5</v>
      </c>
      <c r="CE11" s="29">
        <f>SUM(CE8:CE10)</f>
        <v>46.875</v>
      </c>
      <c r="CY11" s="5"/>
    </row>
    <row r="12" spans="2:103" ht="15" customHeight="1" x14ac:dyDescent="0.2">
      <c r="B12" s="16">
        <v>4</v>
      </c>
      <c r="C12" s="91">
        <v>200.001</v>
      </c>
      <c r="D12" s="91">
        <v>300</v>
      </c>
      <c r="E12" s="5"/>
      <c r="F12" s="462">
        <v>4</v>
      </c>
      <c r="G12" s="451"/>
      <c r="H12" s="16">
        <v>65.001000000000005</v>
      </c>
      <c r="I12" s="91">
        <v>85</v>
      </c>
      <c r="J12" s="5"/>
      <c r="K12" s="462">
        <v>4</v>
      </c>
      <c r="L12" s="451"/>
      <c r="M12" s="16">
        <v>95.001000000000005</v>
      </c>
      <c r="N12" s="91">
        <v>125</v>
      </c>
      <c r="O12" s="5"/>
      <c r="P12" s="499">
        <v>0.45</v>
      </c>
      <c r="Q12" s="500"/>
      <c r="R12" s="5">
        <v>21</v>
      </c>
      <c r="S12" s="16">
        <v>30</v>
      </c>
      <c r="T12" s="5"/>
      <c r="U12" s="16">
        <v>14</v>
      </c>
      <c r="V12" s="9">
        <v>1.22</v>
      </c>
      <c r="W12" s="10">
        <v>1.1499999999999999</v>
      </c>
      <c r="X12" s="9">
        <v>1.1200000000000001</v>
      </c>
      <c r="Y12" s="16">
        <v>57.2</v>
      </c>
      <c r="Z12" s="5"/>
      <c r="AA12" s="253">
        <v>40</v>
      </c>
      <c r="AB12" s="16">
        <v>30.001000000000001</v>
      </c>
      <c r="AC12" s="91">
        <v>35</v>
      </c>
      <c r="AD12" s="5"/>
      <c r="AE12" s="486"/>
      <c r="AF12" s="487"/>
      <c r="AH12" s="37">
        <v>3</v>
      </c>
      <c r="AI12" s="37" t="s">
        <v>661</v>
      </c>
      <c r="AJ12" s="97" t="str">
        <f>'3 Inv Input'!G24</f>
        <v>N/A</v>
      </c>
      <c r="AK12" s="37">
        <f t="shared" si="5"/>
        <v>0</v>
      </c>
      <c r="AL12" s="37">
        <v>0</v>
      </c>
      <c r="AM12" s="37">
        <f t="shared" si="6"/>
        <v>0</v>
      </c>
      <c r="AN12" s="37">
        <f>IF('3 Inv Input'!$D$8=2017,$AF$22,$AF$22+33)</f>
        <v>25</v>
      </c>
      <c r="AO12" s="196" t="s">
        <v>86</v>
      </c>
      <c r="AP12" s="37" t="s">
        <v>115</v>
      </c>
      <c r="AQ12" s="37" t="s">
        <v>222</v>
      </c>
      <c r="AR12" s="200">
        <f t="shared" si="7"/>
        <v>1.04</v>
      </c>
      <c r="AS12" s="200">
        <f t="shared" si="8"/>
        <v>1</v>
      </c>
      <c r="AT12" s="97">
        <f t="shared" si="0"/>
        <v>15</v>
      </c>
      <c r="AU12" s="97" t="s">
        <v>88</v>
      </c>
      <c r="AV12" s="200">
        <f t="shared" si="9"/>
        <v>18.75</v>
      </c>
      <c r="AW12" s="308">
        <f t="shared" si="1"/>
        <v>14.42</v>
      </c>
      <c r="AX12" s="200">
        <f t="shared" si="10"/>
        <v>14.42</v>
      </c>
      <c r="AY12" s="97">
        <f t="shared" si="2"/>
        <v>10</v>
      </c>
      <c r="AZ12" s="97" t="s">
        <v>51</v>
      </c>
      <c r="BA12" s="593"/>
      <c r="BB12" s="306">
        <f>'3 Inv VD'!AH41</f>
        <v>10</v>
      </c>
      <c r="BC12" s="261" t="str">
        <f>'3 Inv VD'!AI41</f>
        <v>-</v>
      </c>
      <c r="BD12" s="593"/>
      <c r="BE12" s="596"/>
      <c r="BF12" s="593"/>
      <c r="BG12" s="593"/>
      <c r="BH12" s="37">
        <f t="shared" si="4"/>
        <v>35</v>
      </c>
      <c r="BI12" s="37">
        <f t="shared" si="11"/>
        <v>36.4</v>
      </c>
      <c r="BJ12" s="37">
        <f t="shared" si="12"/>
        <v>30</v>
      </c>
      <c r="BL12" s="245" t="s">
        <v>589</v>
      </c>
      <c r="BN12" s="35" t="s">
        <v>144</v>
      </c>
      <c r="BO12" s="94">
        <f>IF(BO6="P300",11,IF(BO6="P320",11,IF(BO6="P370",11,IF(BO6="P400",10.1,IF(BO6="P405",10.1,IF(BO6="P505",14,))))))</f>
        <v>11</v>
      </c>
      <c r="BP12" s="36" t="s">
        <v>141</v>
      </c>
      <c r="BR12" s="35" t="s">
        <v>145</v>
      </c>
      <c r="BS12" s="94">
        <v>45</v>
      </c>
      <c r="BT12" s="36" t="s">
        <v>141</v>
      </c>
      <c r="BV12" s="35" t="s">
        <v>145</v>
      </c>
      <c r="BW12" s="94">
        <v>45</v>
      </c>
      <c r="BX12" s="36" t="s">
        <v>141</v>
      </c>
      <c r="BZ12" s="35" t="s">
        <v>145</v>
      </c>
      <c r="CA12" s="94">
        <v>45</v>
      </c>
      <c r="CB12" s="36" t="s">
        <v>141</v>
      </c>
      <c r="CY12" s="5"/>
    </row>
    <row r="13" spans="2:103" ht="15" customHeight="1" x14ac:dyDescent="0.2">
      <c r="B13" s="16">
        <v>3</v>
      </c>
      <c r="C13" s="91">
        <v>300.00099999999998</v>
      </c>
      <c r="D13" s="91">
        <v>400</v>
      </c>
      <c r="E13" s="5"/>
      <c r="F13" s="462">
        <v>3</v>
      </c>
      <c r="G13" s="451"/>
      <c r="H13" s="16">
        <v>85.001000000000005</v>
      </c>
      <c r="I13" s="91">
        <v>100</v>
      </c>
      <c r="J13" s="5"/>
      <c r="K13" s="462">
        <v>3</v>
      </c>
      <c r="L13" s="451"/>
      <c r="M13" s="16">
        <v>125.001</v>
      </c>
      <c r="N13" s="91">
        <v>145</v>
      </c>
      <c r="O13" s="5"/>
      <c r="P13" s="499">
        <v>0.4</v>
      </c>
      <c r="Q13" s="500"/>
      <c r="R13" s="5">
        <v>31</v>
      </c>
      <c r="S13" s="16">
        <v>40</v>
      </c>
      <c r="T13" s="5"/>
      <c r="U13" s="16">
        <v>15</v>
      </c>
      <c r="V13" s="9">
        <v>1.22</v>
      </c>
      <c r="W13" s="10">
        <v>1.1499999999999999</v>
      </c>
      <c r="X13" s="9">
        <v>1.1200000000000001</v>
      </c>
      <c r="Y13" s="16">
        <v>59</v>
      </c>
      <c r="Z13" s="5"/>
      <c r="AA13" s="16">
        <v>40</v>
      </c>
      <c r="AB13" s="16">
        <v>35.000999999999998</v>
      </c>
      <c r="AC13" s="91">
        <v>40</v>
      </c>
      <c r="AD13" s="5"/>
      <c r="AE13" s="486"/>
      <c r="AF13" s="487"/>
      <c r="AH13" s="37">
        <v>4</v>
      </c>
      <c r="AI13" s="37" t="s">
        <v>584</v>
      </c>
      <c r="AJ13" s="37" t="s">
        <v>51</v>
      </c>
      <c r="AK13" s="37">
        <f>SUM(AK4:AK6)</f>
        <v>2</v>
      </c>
      <c r="AL13" s="37">
        <v>0</v>
      </c>
      <c r="AM13" s="37">
        <v>1</v>
      </c>
      <c r="AN13" s="37">
        <f>IF('3 Inv Input'!$D$8=2017,$AF$22,$AF$22+33)</f>
        <v>25</v>
      </c>
      <c r="AO13" s="196" t="s">
        <v>87</v>
      </c>
      <c r="AP13" s="37" t="s">
        <v>60</v>
      </c>
      <c r="AQ13" s="37" t="s">
        <v>60</v>
      </c>
      <c r="AR13" s="200">
        <f t="shared" si="7"/>
        <v>1.04</v>
      </c>
      <c r="AS13" s="200">
        <f t="shared" si="8"/>
        <v>1</v>
      </c>
      <c r="AT13" s="97">
        <f t="shared" si="0"/>
        <v>15</v>
      </c>
      <c r="AU13" s="97" t="s">
        <v>88</v>
      </c>
      <c r="AV13" s="200">
        <f t="shared" si="9"/>
        <v>18.75</v>
      </c>
      <c r="AW13" s="308">
        <f t="shared" si="1"/>
        <v>14.42</v>
      </c>
      <c r="AX13" s="200">
        <f t="shared" si="10"/>
        <v>14.42</v>
      </c>
      <c r="AY13" s="97">
        <f t="shared" si="2"/>
        <v>10</v>
      </c>
      <c r="AZ13" s="97" t="s">
        <v>51</v>
      </c>
      <c r="BA13" s="97">
        <f t="shared" ref="BA13:BA19" si="16">LOOKUP(AX13,1/($C$7:$C$25&lt;=AX13)/($D$7:$D$25&gt;=AX13),$B$7:$B$25)</f>
        <v>10</v>
      </c>
      <c r="BB13" s="306">
        <f>'3 Inv VD'!AH42</f>
        <v>10</v>
      </c>
      <c r="BC13" s="261" t="str">
        <f>'3 Inv VD'!AI42</f>
        <v>-</v>
      </c>
      <c r="BD13" s="307">
        <f>'3 Inv VD'!AJ42</f>
        <v>10</v>
      </c>
      <c r="BE13" s="290">
        <f>(AK13*(VLOOKUP(BB13,$P$27:$S$50,3,FALSE)))+(AM13*(VLOOKUP(BD13,$P$27:$S$50,3,FALSE)))</f>
        <v>6.3299999999999995E-2</v>
      </c>
      <c r="BF13" s="97">
        <f t="shared" ref="BF13:BF19" si="17">IF(BE13&lt;$S$57,$P$57,IF(AND(BE13&gt;$S$57,BE13&lt;$S$58),$P$58,IF(AND(BE13&gt;$S$58,BE13&lt;$S$59),$P$59,IF(AND(BE13&gt;$S$59,BE13&lt;$S$60),$P$60,IF(AND(BE13&gt;$S$60,BE13&lt;$S$61),$P$61,IF(AND(BE13&gt;$S$61,BE13&lt;$S$62),$P$62,IF(AND(BE13&gt;$S$62,BE13&lt;$S$63),$P$63,IF(AND(BE13&gt;$S$63,BE13&lt;$S$64),$P$64,IF(AND(BE13&gt;$S$64,BE13&lt;$S$65),$P$65,IF(AND(BE13&gt;$S$65,BE13&lt;$S$66),$P$66,"Error"))))))))))</f>
        <v>0.75</v>
      </c>
      <c r="BG13" s="97" t="s">
        <v>94</v>
      </c>
      <c r="BH13" s="37">
        <f t="shared" si="4"/>
        <v>35</v>
      </c>
      <c r="BI13" s="37">
        <f t="shared" si="11"/>
        <v>36.4</v>
      </c>
      <c r="BJ13" s="37">
        <f t="shared" si="12"/>
        <v>30</v>
      </c>
      <c r="BL13" s="245"/>
      <c r="BN13" s="35" t="s">
        <v>148</v>
      </c>
      <c r="BO13" s="94">
        <f>IF(BO6="P300",13.75,IF(BO6="P320",13.75,IF(BO6="P370",13.75,IF(BO6="P400",12.63,IF(BO6="P405",12.63,IF(BO6="P505",17.5,))))))</f>
        <v>13.75</v>
      </c>
      <c r="BP13" s="36" t="s">
        <v>141</v>
      </c>
      <c r="BR13" s="35" t="s">
        <v>149</v>
      </c>
      <c r="BS13" s="94">
        <f>IF(BS6="SE3000H-US",99,IF(BS6="SE3800H-US",99.2,IF(BS6="SE5000H-US",99.2,IF(BS6="SE6000H-US",99.2,IF(BS6="SE7600H-US",99.2,IF(BS6="SE3000A-US",97.7,IF(BS6="SE3800A-US",98.2,IF(BS6="SE5000A-US",98.3,IF(BS6="SE6000A-US",98.3,IF(BS6="SE7600A-US",98,IF(BS6="SE10000A-US",98,IF(BS6="SE11400A-US",98,IF(BS6="SE10000H-US",99.2,IF(BS6="SE11400H-US","99.2",))))))))))))))</f>
        <v>99</v>
      </c>
      <c r="BT13" s="36" t="s">
        <v>150</v>
      </c>
      <c r="BV13" s="35" t="s">
        <v>149</v>
      </c>
      <c r="BW13" s="94">
        <f>IF(BW6="SE3000H-US",99,IF(BW6="SE3800H-US",99.2,IF(BW6="SE5000H-US",99.2,IF(BW6="SE6000H-US",99.2,IF(BW6="SE7600H-US",99.2,IF(BW6="SE3000A-US",97.7,IF(BW6="SE3800A-US",98.2,IF(BW6="SE5000A-US",98.3,IF(BW6="SE6000A-US",98.3,IF(BW6="SE7600A-US",98,IF(BW6="SE10000A-US",98,IF(BW6="SE11400A-US",98,IF(BW6="SE10000H-US",99.2,IF(BW6="SE11400H-US","99.2",))))))))))))))</f>
        <v>99</v>
      </c>
      <c r="BX13" s="36" t="s">
        <v>150</v>
      </c>
      <c r="BZ13" s="35" t="s">
        <v>149</v>
      </c>
      <c r="CA13" s="94">
        <f>IF(CA6="SE3000H-US",99,IF(CA6="SE3800H-US",99.2,IF(CA6="SE5000H-US",99.2,IF(CA6="SE6000H-US",99.2,IF(CA6="SE7600H-US",99.2,IF(CA6="SE3000A-US",97.7,IF(CA6="SE3800A-US",98.2,IF(CA6="SE5000A-US",98.3,IF(CA6="SE6000A-US",98.3,IF(CA6="SE7600A-US",98,IF(CA6="SE10000A-US",98,IF(CA6="SE11400A-US",98,IF(CA6="SE10000H-US",99.2,IF(CA6="SE11400H-US","99.2",))))))))))))))</f>
        <v>99</v>
      </c>
      <c r="CB13" s="36" t="s">
        <v>150</v>
      </c>
      <c r="CY13" s="5"/>
    </row>
    <row r="14" spans="2:103" ht="15" customHeight="1" x14ac:dyDescent="0.2">
      <c r="B14" s="16">
        <v>2</v>
      </c>
      <c r="C14" s="91">
        <v>400.00099999999998</v>
      </c>
      <c r="D14" s="91">
        <v>500</v>
      </c>
      <c r="E14" s="5"/>
      <c r="F14" s="462">
        <v>2</v>
      </c>
      <c r="G14" s="451"/>
      <c r="H14" s="16">
        <v>100.001</v>
      </c>
      <c r="I14" s="91">
        <v>115</v>
      </c>
      <c r="J14" s="5"/>
      <c r="K14" s="462">
        <v>2</v>
      </c>
      <c r="L14" s="451"/>
      <c r="M14" s="16">
        <v>145.001</v>
      </c>
      <c r="N14" s="91">
        <v>170</v>
      </c>
      <c r="O14" s="5"/>
      <c r="P14" s="507">
        <v>0.35</v>
      </c>
      <c r="Q14" s="508"/>
      <c r="R14" s="63">
        <v>41</v>
      </c>
      <c r="S14" s="92">
        <v>100</v>
      </c>
      <c r="T14" s="5"/>
      <c r="U14" s="16">
        <v>16</v>
      </c>
      <c r="V14" s="9">
        <v>1.1499999999999999</v>
      </c>
      <c r="W14" s="10">
        <v>1.1100000000000001</v>
      </c>
      <c r="X14" s="9">
        <v>1.08</v>
      </c>
      <c r="Y14" s="16">
        <v>60.8</v>
      </c>
      <c r="Z14" s="5"/>
      <c r="AA14" s="16">
        <v>45</v>
      </c>
      <c r="AB14" s="16">
        <v>40.000999999999998</v>
      </c>
      <c r="AC14" s="91">
        <v>45</v>
      </c>
      <c r="AD14" s="5"/>
      <c r="AE14" s="486"/>
      <c r="AF14" s="487"/>
      <c r="AH14" s="37">
        <v>5</v>
      </c>
      <c r="AI14" s="37" t="s">
        <v>586</v>
      </c>
      <c r="AJ14" s="37" t="s">
        <v>51</v>
      </c>
      <c r="AK14" s="37">
        <f>SUM(AK7:AK9)</f>
        <v>2</v>
      </c>
      <c r="AL14" s="37">
        <v>0</v>
      </c>
      <c r="AM14" s="37">
        <v>1</v>
      </c>
      <c r="AN14" s="37">
        <f>IF('3 Inv Input'!$D$8=2017,$AF$22,$AF$22+33)</f>
        <v>25</v>
      </c>
      <c r="AO14" s="196" t="s">
        <v>87</v>
      </c>
      <c r="AP14" s="37" t="s">
        <v>60</v>
      </c>
      <c r="AQ14" s="37" t="s">
        <v>60</v>
      </c>
      <c r="AR14" s="200">
        <f t="shared" si="7"/>
        <v>1.04</v>
      </c>
      <c r="AS14" s="200">
        <f t="shared" si="8"/>
        <v>1</v>
      </c>
      <c r="AT14" s="97">
        <f t="shared" si="0"/>
        <v>15</v>
      </c>
      <c r="AU14" s="97" t="s">
        <v>88</v>
      </c>
      <c r="AV14" s="200">
        <f t="shared" si="9"/>
        <v>18.75</v>
      </c>
      <c r="AW14" s="308">
        <f t="shared" si="1"/>
        <v>14.42</v>
      </c>
      <c r="AX14" s="200">
        <f t="shared" si="10"/>
        <v>14.42</v>
      </c>
      <c r="AY14" s="97">
        <f t="shared" si="2"/>
        <v>10</v>
      </c>
      <c r="AZ14" s="97" t="s">
        <v>51</v>
      </c>
      <c r="BA14" s="97">
        <f t="shared" si="16"/>
        <v>10</v>
      </c>
      <c r="BB14" s="306">
        <f>'3 Inv VD'!AH43</f>
        <v>10</v>
      </c>
      <c r="BC14" s="261" t="str">
        <f>'3 Inv VD'!AI43</f>
        <v>-</v>
      </c>
      <c r="BD14" s="307">
        <f>'3 Inv VD'!AJ43</f>
        <v>10</v>
      </c>
      <c r="BE14" s="290">
        <f t="shared" ref="BE14:BE19" si="18">(AK14*(VLOOKUP(BB14,$P$27:$S$50,3,FALSE)))+(AM14*(VLOOKUP(BD14,$P$27:$S$50,3,FALSE)))</f>
        <v>6.3299999999999995E-2</v>
      </c>
      <c r="BF14" s="97">
        <f t="shared" si="17"/>
        <v>0.75</v>
      </c>
      <c r="BG14" s="97" t="s">
        <v>94</v>
      </c>
      <c r="BH14" s="37">
        <f t="shared" si="4"/>
        <v>35</v>
      </c>
      <c r="BI14" s="37">
        <f t="shared" si="11"/>
        <v>36.4</v>
      </c>
      <c r="BJ14" s="37">
        <f t="shared" si="12"/>
        <v>30</v>
      </c>
      <c r="BL14" s="245" t="s">
        <v>541</v>
      </c>
      <c r="BN14" s="35" t="s">
        <v>152</v>
      </c>
      <c r="BO14" s="94">
        <v>99.5</v>
      </c>
      <c r="BP14" s="36" t="s">
        <v>150</v>
      </c>
      <c r="BR14" s="35" t="s">
        <v>153</v>
      </c>
      <c r="BS14" s="94">
        <f>IF(BS6="SE3000H-US",99,IF(BS6="SE3800H-US",99,IF(BS6="SE5000H-US",99,IF(BS6="SE6000H-US",99,IF(BS6="SE7600H-US",99,IF(BS6="SE3000A-US",97.5,IF(BS6="SE3800A-US",98,IF(BS6="SE5000A-US",98,IF(BS6="SE6000A-US",97.5,IF(BS6="SE7600A-US",97.5,IF(BS6="SE10000A-US",97.5,IF(BS6="SE11400A-US",97.5,IF(BS6="SE10000H-US",99,IF(BS6="SE11400H-US","99",))))))))))))))</f>
        <v>99</v>
      </c>
      <c r="BT14" s="36" t="s">
        <v>150</v>
      </c>
      <c r="BV14" s="35" t="s">
        <v>153</v>
      </c>
      <c r="BW14" s="94">
        <f>IF(BW6="SE3000H-US",99,IF(BW6="SE3800H-US",99,IF(BW6="SE5000H-US",99,IF(BW6="SE6000H-US",99,IF(BW6="SE7600H-US",99,IF(BW6="SE3000A-US",97.5,IF(BW6="SE3800A-US",98,IF(BW6="SE5000A-US",98,IF(BW6="SE6000A-US",97.5,IF(BW6="SE7600A-US",97.5,IF(BW6="SE10000A-US",97.5,IF(BW6="SE11400A-US",97.5,IF(BW6="SE10000H-US",99,IF(BW6="SE11400H-US","99",))))))))))))))</f>
        <v>99</v>
      </c>
      <c r="BX14" s="36" t="s">
        <v>150</v>
      </c>
      <c r="BZ14" s="35" t="s">
        <v>153</v>
      </c>
      <c r="CA14" s="94">
        <f>IF(CA6="SE3000H-US",99,IF(CA6="SE3800H-US",99,IF(CA6="SE5000H-US",99,IF(CA6="SE6000H-US",99,IF(CA6="SE7600H-US",99,IF(CA6="SE3000A-US",97.5,IF(CA6="SE3800A-US",98,IF(CA6="SE5000A-US",98,IF(CA6="SE6000A-US",97.5,IF(CA6="SE7600A-US",97.5,IF(CA6="SE10000A-US",97.5,IF(CA6="SE11400A-US",97.5,IF(CA6="SE10000H-US",99,IF(CA6="SE11400H-US","99",))))))))))))))</f>
        <v>99</v>
      </c>
      <c r="CB14" s="36" t="s">
        <v>150</v>
      </c>
      <c r="CY14" s="5"/>
    </row>
    <row r="15" spans="2:103" ht="15" customHeight="1" x14ac:dyDescent="0.2">
      <c r="B15" s="16">
        <v>1</v>
      </c>
      <c r="C15" s="91">
        <v>500.00099999999998</v>
      </c>
      <c r="D15" s="91">
        <v>600</v>
      </c>
      <c r="E15" s="5"/>
      <c r="F15" s="462">
        <v>1</v>
      </c>
      <c r="G15" s="451"/>
      <c r="H15" s="16">
        <v>115.001</v>
      </c>
      <c r="I15" s="91">
        <v>130</v>
      </c>
      <c r="J15" s="95"/>
      <c r="K15" s="462">
        <v>1</v>
      </c>
      <c r="L15" s="451"/>
      <c r="M15" s="16">
        <v>170.001</v>
      </c>
      <c r="N15" s="91">
        <v>195</v>
      </c>
      <c r="O15" s="5"/>
      <c r="P15" s="20"/>
      <c r="Q15" s="20"/>
      <c r="T15" s="5"/>
      <c r="U15" s="16">
        <v>17</v>
      </c>
      <c r="V15" s="9">
        <v>1.1499999999999999</v>
      </c>
      <c r="W15" s="10">
        <v>1.1100000000000001</v>
      </c>
      <c r="X15" s="9">
        <v>1.08</v>
      </c>
      <c r="Y15" s="16">
        <v>62.6</v>
      </c>
      <c r="Z15" s="5"/>
      <c r="AA15" s="16">
        <v>50</v>
      </c>
      <c r="AB15" s="16">
        <v>45.000999999999998</v>
      </c>
      <c r="AC15" s="91">
        <v>50</v>
      </c>
      <c r="AD15" s="5"/>
      <c r="AE15" s="486"/>
      <c r="AF15" s="487"/>
      <c r="AH15" s="37">
        <v>6</v>
      </c>
      <c r="AI15" s="37" t="s">
        <v>662</v>
      </c>
      <c r="AJ15" s="37" t="s">
        <v>51</v>
      </c>
      <c r="AK15" s="37">
        <f>SUM(AK8:AK10)</f>
        <v>2</v>
      </c>
      <c r="AL15" s="37">
        <v>0</v>
      </c>
      <c r="AM15" s="37">
        <v>1</v>
      </c>
      <c r="AN15" s="37">
        <f>IF('3 Inv Input'!$D$8=2017,$AF$22,$AF$22+33)</f>
        <v>25</v>
      </c>
      <c r="AO15" s="196" t="s">
        <v>87</v>
      </c>
      <c r="AP15" s="37" t="s">
        <v>60</v>
      </c>
      <c r="AQ15" s="37" t="s">
        <v>60</v>
      </c>
      <c r="AR15" s="200">
        <f t="shared" si="7"/>
        <v>1.04</v>
      </c>
      <c r="AS15" s="200">
        <f t="shared" si="8"/>
        <v>1</v>
      </c>
      <c r="AT15" s="97">
        <f t="shared" si="0"/>
        <v>15</v>
      </c>
      <c r="AU15" s="97" t="s">
        <v>88</v>
      </c>
      <c r="AV15" s="200">
        <f t="shared" si="9"/>
        <v>18.75</v>
      </c>
      <c r="AW15" s="308">
        <f t="shared" si="1"/>
        <v>14.42</v>
      </c>
      <c r="AX15" s="200">
        <f t="shared" si="10"/>
        <v>14.42</v>
      </c>
      <c r="AY15" s="97">
        <f t="shared" si="2"/>
        <v>10</v>
      </c>
      <c r="AZ15" s="97" t="s">
        <v>51</v>
      </c>
      <c r="BA15" s="97">
        <f t="shared" si="16"/>
        <v>10</v>
      </c>
      <c r="BB15" s="306">
        <f>'3 Inv VD'!AH44</f>
        <v>10</v>
      </c>
      <c r="BC15" s="261" t="str">
        <f>'3 Inv VD'!AI44</f>
        <v>-</v>
      </c>
      <c r="BD15" s="307">
        <f>'3 Inv VD'!AJ44</f>
        <v>10</v>
      </c>
      <c r="BE15" s="290">
        <f t="shared" si="18"/>
        <v>6.3299999999999995E-2</v>
      </c>
      <c r="BF15" s="97">
        <f t="shared" si="17"/>
        <v>0.75</v>
      </c>
      <c r="BG15" s="97" t="s">
        <v>94</v>
      </c>
      <c r="BH15" s="37">
        <f t="shared" si="4"/>
        <v>35</v>
      </c>
      <c r="BI15" s="37">
        <f t="shared" si="11"/>
        <v>36.4</v>
      </c>
      <c r="BJ15" s="37">
        <f t="shared" si="12"/>
        <v>30</v>
      </c>
      <c r="BL15" s="245" t="s">
        <v>97</v>
      </c>
      <c r="BN15" s="35" t="s">
        <v>156</v>
      </c>
      <c r="BO15" s="94">
        <f>IF(BO6="P505",98.6,98.8)</f>
        <v>98.8</v>
      </c>
      <c r="BP15" s="36" t="s">
        <v>150</v>
      </c>
      <c r="BR15" s="520" t="s">
        <v>157</v>
      </c>
      <c r="BS15" s="521"/>
      <c r="BT15" s="522"/>
      <c r="BV15" s="520" t="s">
        <v>157</v>
      </c>
      <c r="BW15" s="521"/>
      <c r="BX15" s="522"/>
      <c r="BZ15" s="520" t="s">
        <v>157</v>
      </c>
      <c r="CA15" s="521"/>
      <c r="CB15" s="522"/>
      <c r="CY15" s="5"/>
    </row>
    <row r="16" spans="2:103" ht="15" customHeight="1" x14ac:dyDescent="0.2">
      <c r="B16" s="21" t="s">
        <v>19</v>
      </c>
      <c r="C16" s="91">
        <v>600.00099999999998</v>
      </c>
      <c r="D16" s="91">
        <v>800</v>
      </c>
      <c r="E16" s="5"/>
      <c r="F16" s="498" t="s">
        <v>19</v>
      </c>
      <c r="G16" s="451"/>
      <c r="H16" s="16">
        <v>130.001</v>
      </c>
      <c r="I16" s="91">
        <v>150</v>
      </c>
      <c r="J16" s="95"/>
      <c r="K16" s="498" t="s">
        <v>19</v>
      </c>
      <c r="L16" s="451"/>
      <c r="M16" s="16">
        <v>195.001</v>
      </c>
      <c r="N16" s="91">
        <v>230</v>
      </c>
      <c r="O16" s="5"/>
      <c r="P16" s="501" t="s">
        <v>23</v>
      </c>
      <c r="Q16" s="502"/>
      <c r="R16" s="502"/>
      <c r="S16" s="503"/>
      <c r="T16" s="5"/>
      <c r="U16" s="16">
        <v>18</v>
      </c>
      <c r="V16" s="9">
        <v>1.1499999999999999</v>
      </c>
      <c r="W16" s="10">
        <v>1.1100000000000001</v>
      </c>
      <c r="X16" s="9">
        <v>1.08</v>
      </c>
      <c r="Y16" s="16">
        <v>64.400000000000006</v>
      </c>
      <c r="Z16" s="5"/>
      <c r="AA16" s="16">
        <v>60</v>
      </c>
      <c r="AB16" s="16">
        <v>50.000999999999998</v>
      </c>
      <c r="AC16" s="91">
        <v>60</v>
      </c>
      <c r="AD16" s="5"/>
      <c r="AE16" s="486"/>
      <c r="AF16" s="487"/>
      <c r="AH16" s="37">
        <v>7</v>
      </c>
      <c r="AI16" s="37" t="s">
        <v>588</v>
      </c>
      <c r="AJ16" s="37" t="s">
        <v>51</v>
      </c>
      <c r="AK16" s="37">
        <v>2</v>
      </c>
      <c r="AL16" s="37">
        <v>1</v>
      </c>
      <c r="AM16" s="37">
        <v>1</v>
      </c>
      <c r="AN16" s="37">
        <f t="shared" ref="AN16:AN19" si="19">$AF$22</f>
        <v>25</v>
      </c>
      <c r="AO16" s="196" t="s">
        <v>87</v>
      </c>
      <c r="AP16" s="37" t="s">
        <v>60</v>
      </c>
      <c r="AQ16" s="37" t="s">
        <v>60</v>
      </c>
      <c r="AR16" s="200">
        <f t="shared" si="7"/>
        <v>1.04</v>
      </c>
      <c r="AS16" s="200">
        <f t="shared" si="8"/>
        <v>1</v>
      </c>
      <c r="AT16" s="97">
        <f>BS19</f>
        <v>12.5</v>
      </c>
      <c r="AU16" s="97" t="s">
        <v>89</v>
      </c>
      <c r="AV16" s="200">
        <f t="shared" si="9"/>
        <v>15.63</v>
      </c>
      <c r="AW16" s="200">
        <f t="shared" ref="AW16:AW19" si="20">ROUND(AT16/(AR16*AS16),2)</f>
        <v>12.02</v>
      </c>
      <c r="AX16" s="200">
        <f>IF(AU16="yes",AT16,MAX(AV16:AW16))</f>
        <v>15.63</v>
      </c>
      <c r="AY16" s="97">
        <f t="shared" si="2"/>
        <v>10</v>
      </c>
      <c r="AZ16" s="97">
        <f>AY16</f>
        <v>10</v>
      </c>
      <c r="BA16" s="97">
        <f t="shared" si="16"/>
        <v>10</v>
      </c>
      <c r="BB16" s="306">
        <f>'3 Inv VD'!AH45</f>
        <v>10</v>
      </c>
      <c r="BC16" s="261">
        <f>'3 Inv VD'!AI45</f>
        <v>10</v>
      </c>
      <c r="BD16" s="307">
        <f>'3 Inv VD'!AJ45</f>
        <v>10</v>
      </c>
      <c r="BE16" s="290">
        <f t="shared" si="18"/>
        <v>6.3299999999999995E-2</v>
      </c>
      <c r="BF16" s="97">
        <f t="shared" si="17"/>
        <v>0.75</v>
      </c>
      <c r="BG16" s="97">
        <f>LOOKUP(AX16,1/($AB$8:$AB$44&lt;=AX16)/($AC$8:$AC$44&gt;=AX16),$AA$8:$AA$44)</f>
        <v>20</v>
      </c>
      <c r="BH16" s="37">
        <f t="shared" si="4"/>
        <v>35</v>
      </c>
      <c r="BI16" s="37">
        <f t="shared" si="11"/>
        <v>36.4</v>
      </c>
      <c r="BJ16" s="37">
        <f t="shared" si="12"/>
        <v>30</v>
      </c>
      <c r="BL16" s="245" t="s">
        <v>592</v>
      </c>
      <c r="BM16" s="30"/>
      <c r="BN16" s="40" t="s">
        <v>158</v>
      </c>
      <c r="BO16" s="94" t="s">
        <v>159</v>
      </c>
      <c r="BP16" s="29" t="s">
        <v>51</v>
      </c>
      <c r="BQ16" s="30"/>
      <c r="BR16" s="41" t="s">
        <v>160</v>
      </c>
      <c r="BS16" s="101">
        <f>IF(BS6="SE3000H-US",3000,IF(BS6="SE3800H-US",3800,IF(BS6="SE5000H-US",5000,IF(BS6="SE6000H-US",6000,IF(BS6="SE7600H-US",7600,IF(BS6="SE3000A-US",3000,IF(BS6="SE3800A-US",3800,IF(BS6="SE5000A-US",5000,IF(BS6="SE6000A-US",6000,IF(BS6="SE7600A-US",7600,IF(BS6="SE10000A-US",10000,IF(BS6="SE11400A-US",11400,IF(BS6="SE10000H-US",10000,IF(BS6="SE11400H-US",11400,))))))))))))))</f>
        <v>3000</v>
      </c>
      <c r="BT16" s="102" t="s">
        <v>161</v>
      </c>
      <c r="BU16" s="30"/>
      <c r="BV16" s="41" t="s">
        <v>160</v>
      </c>
      <c r="BW16" s="101">
        <f>IF(BW6="SE3000H-US",3000,IF(BW6="SE3800H-US",3800,IF(BW6="SE5000H-US",5000,IF(BW6="SE6000H-US",6000,IF(BW6="SE7600H-US",7600,IF(BW6="SE3000A-US",3000,IF(BW6="SE3800A-US",3800,IF(BW6="SE5000A-US",5000,IF(BW6="SE6000A-US",6000,IF(BW6="SE7600A-US",7600,IF(BW6="SE10000A-US",10000,IF(BW6="SE11400A-US",11400,IF(BW6="SE10000H-US",10000,IF(BW6="SE11400H-US",11400,))))))))))))))</f>
        <v>3000</v>
      </c>
      <c r="BX16" s="102" t="s">
        <v>161</v>
      </c>
      <c r="BZ16" s="41" t="s">
        <v>160</v>
      </c>
      <c r="CA16" s="101">
        <f>IF(CA6="SE3000H-US",3000,IF(CA6="SE3800H-US",3800,IF(CA6="SE5000H-US",5000,IF(CA6="SE6000H-US",6000,IF(CA6="SE7600H-US",7600,IF(CA6="SE3000A-US",3000,IF(CA6="SE3800A-US",3800,IF(CA6="SE5000A-US",5000,IF(CA6="SE6000A-US",6000,IF(CA6="SE7600A-US",7600,IF(CA6="SE10000A-US",10000,IF(CA6="SE11400A-US",11400,IF(CA6="SE10000H-US",10000,IF(CA6="SE11400H-US",11400,))))))))))))))</f>
        <v>3000</v>
      </c>
      <c r="CB16" s="102" t="s">
        <v>161</v>
      </c>
      <c r="CY16" s="5"/>
    </row>
    <row r="17" spans="2:103" ht="15" customHeight="1" x14ac:dyDescent="0.2">
      <c r="B17" s="21" t="s">
        <v>29</v>
      </c>
      <c r="C17" s="91">
        <v>800.00099999999998</v>
      </c>
      <c r="D17" s="91">
        <v>1000</v>
      </c>
      <c r="E17" s="5"/>
      <c r="F17" s="498" t="s">
        <v>29</v>
      </c>
      <c r="G17" s="451"/>
      <c r="H17" s="16">
        <v>150.001</v>
      </c>
      <c r="I17" s="91">
        <v>175</v>
      </c>
      <c r="J17" s="95"/>
      <c r="K17" s="498" t="s">
        <v>29</v>
      </c>
      <c r="L17" s="451"/>
      <c r="M17" s="16">
        <v>230.001</v>
      </c>
      <c r="N17" s="91">
        <v>265</v>
      </c>
      <c r="O17" s="5"/>
      <c r="P17" s="504"/>
      <c r="Q17" s="505"/>
      <c r="R17" s="505"/>
      <c r="S17" s="506"/>
      <c r="T17" s="5"/>
      <c r="U17" s="16">
        <v>19</v>
      </c>
      <c r="V17" s="9">
        <v>1.1499999999999999</v>
      </c>
      <c r="W17" s="10">
        <v>1.1100000000000001</v>
      </c>
      <c r="X17" s="9">
        <v>1.08</v>
      </c>
      <c r="Y17" s="16">
        <v>66.2</v>
      </c>
      <c r="Z17" s="5"/>
      <c r="AA17" s="16">
        <v>70</v>
      </c>
      <c r="AB17" s="16">
        <v>60.000999999999998</v>
      </c>
      <c r="AC17" s="91">
        <v>70</v>
      </c>
      <c r="AD17" s="5"/>
      <c r="AE17" s="486"/>
      <c r="AF17" s="487"/>
      <c r="AH17" s="37">
        <v>8</v>
      </c>
      <c r="AI17" s="37" t="s">
        <v>590</v>
      </c>
      <c r="AJ17" s="37" t="s">
        <v>51</v>
      </c>
      <c r="AK17" s="37">
        <v>2</v>
      </c>
      <c r="AL17" s="37">
        <v>1</v>
      </c>
      <c r="AM17" s="37">
        <v>1</v>
      </c>
      <c r="AN17" s="37">
        <f t="shared" si="19"/>
        <v>25</v>
      </c>
      <c r="AO17" s="196" t="s">
        <v>87</v>
      </c>
      <c r="AP17" s="37" t="s">
        <v>60</v>
      </c>
      <c r="AQ17" s="37" t="s">
        <v>60</v>
      </c>
      <c r="AR17" s="200">
        <f t="shared" si="7"/>
        <v>1.04</v>
      </c>
      <c r="AS17" s="200">
        <f t="shared" si="8"/>
        <v>1</v>
      </c>
      <c r="AT17" s="97">
        <f>BW19</f>
        <v>12.5</v>
      </c>
      <c r="AU17" s="97" t="s">
        <v>89</v>
      </c>
      <c r="AV17" s="200">
        <f t="shared" si="9"/>
        <v>15.63</v>
      </c>
      <c r="AW17" s="200">
        <f t="shared" si="20"/>
        <v>12.02</v>
      </c>
      <c r="AX17" s="200">
        <f>IF(AU17="yes",AT17,MAX(AV17:AW17))</f>
        <v>15.63</v>
      </c>
      <c r="AY17" s="97">
        <f t="shared" si="2"/>
        <v>10</v>
      </c>
      <c r="AZ17" s="97">
        <f>AY17</f>
        <v>10</v>
      </c>
      <c r="BA17" s="97">
        <f t="shared" si="16"/>
        <v>10</v>
      </c>
      <c r="BB17" s="306">
        <f>'3 Inv VD'!AH46</f>
        <v>10</v>
      </c>
      <c r="BC17" s="261">
        <f>'3 Inv VD'!AI46</f>
        <v>10</v>
      </c>
      <c r="BD17" s="307">
        <f>'3 Inv VD'!AJ46</f>
        <v>10</v>
      </c>
      <c r="BE17" s="290">
        <f t="shared" si="18"/>
        <v>6.3299999999999995E-2</v>
      </c>
      <c r="BF17" s="97">
        <f t="shared" si="17"/>
        <v>0.75</v>
      </c>
      <c r="BG17" s="97">
        <f t="shared" ref="BG17:BG19" si="21">LOOKUP(AX17,1/($AB$8:$AB$44&lt;=AX17)/($AC$8:$AC$44&gt;=AX17),$AA$8:$AA$44)</f>
        <v>20</v>
      </c>
      <c r="BH17" s="37">
        <f t="shared" si="4"/>
        <v>35</v>
      </c>
      <c r="BI17" s="37">
        <f t="shared" si="11"/>
        <v>36.4</v>
      </c>
      <c r="BJ17" s="37">
        <f t="shared" si="12"/>
        <v>30</v>
      </c>
      <c r="BL17" s="245" t="s">
        <v>541</v>
      </c>
      <c r="BM17" s="30"/>
      <c r="BN17" s="453" t="s">
        <v>163</v>
      </c>
      <c r="BO17" s="454"/>
      <c r="BP17" s="455"/>
      <c r="BQ17" s="30"/>
      <c r="BR17" s="42" t="s">
        <v>164</v>
      </c>
      <c r="BS17" s="36">
        <f>IF(BS6="SE3000H-US",3000,IF(BS6="SE3800H-US",3800,IF(BS6="SE5000H-US",5000,IF(BS6="SE6000H-US",6000,IF(BS6="SE7600H-US",7600,IF(BS6="SE3000A-US",3300,IF(BS6="SE3800A-US",4150,IF(BS6="SE5000A-US",5450,IF(BS6="SE6000A-US",6000,IF(BS6="SE7600A-US",8350,IF(BS6="SE10000A-US",10950,IF(BS6="SE11400A-US",12000,IF(BS6="SE10000H-US",10000,IF(BS6="SE11400H-US",11400,))))))))))))))</f>
        <v>3000</v>
      </c>
      <c r="BT17" s="105" t="s">
        <v>161</v>
      </c>
      <c r="BU17" s="30"/>
      <c r="BV17" s="42" t="s">
        <v>164</v>
      </c>
      <c r="BW17" s="36">
        <f>IF(BW6="SE3000H-US",3000,IF(BW6="SE3800H-US",3800,IF(BW6="SE5000H-US",5000,IF(BW6="SE6000H-US",6000,IF(BW6="SE7600H-US",7600,IF(BW6="SE3000A-US",3300,IF(BW6="SE3800A-US",4150,IF(BW6="SE5000A-US",5450,IF(BW6="SE6000A-US",6000,IF(BW6="SE7600A-US",8350,IF(BW6="SE10000A-US",10950,IF(BW6="SE11400A-US",12000,IF(BW6="SE10000H-US",10000,IF(BW6="SE11400H-US",11400,))))))))))))))</f>
        <v>3000</v>
      </c>
      <c r="BX17" s="105" t="s">
        <v>161</v>
      </c>
      <c r="BZ17" s="42" t="s">
        <v>164</v>
      </c>
      <c r="CA17" s="36">
        <f>IF(CA6="SE3000H-US",3000,IF(CA6="SE3800H-US",3800,IF(CA6="SE5000H-US",5000,IF(CA6="SE6000H-US",6000,IF(CA6="SE7600H-US",7600,IF(CA6="SE3000A-US",3300,IF(CA6="SE3800A-US",4150,IF(CA6="SE5000A-US",5450,IF(CA6="SE6000A-US",6000,IF(CA6="SE7600A-US",8350,IF(CA6="SE10000A-US",10950,IF(CA6="SE11400A-US",12000,IF(CA6="SE10000H-US",10000,IF(CA6="SE11400H-US",11400,))))))))))))))</f>
        <v>3000</v>
      </c>
      <c r="CB17" s="105" t="s">
        <v>161</v>
      </c>
      <c r="CY17" s="5"/>
    </row>
    <row r="18" spans="2:103" ht="15" customHeight="1" x14ac:dyDescent="0.2">
      <c r="B18" s="21" t="s">
        <v>28</v>
      </c>
      <c r="C18" s="91">
        <v>1000.001</v>
      </c>
      <c r="D18" s="91">
        <v>1200</v>
      </c>
      <c r="E18" s="5"/>
      <c r="F18" s="498" t="s">
        <v>28</v>
      </c>
      <c r="G18" s="451"/>
      <c r="H18" s="16">
        <v>175.001</v>
      </c>
      <c r="I18" s="91">
        <v>200</v>
      </c>
      <c r="J18" s="5"/>
      <c r="K18" s="498" t="s">
        <v>28</v>
      </c>
      <c r="L18" s="451"/>
      <c r="M18" s="16">
        <v>265.00099999999998</v>
      </c>
      <c r="N18" s="91">
        <v>310</v>
      </c>
      <c r="O18" s="5"/>
      <c r="T18" s="5"/>
      <c r="U18" s="16">
        <v>20</v>
      </c>
      <c r="V18" s="9">
        <v>1.1499999999999999</v>
      </c>
      <c r="W18" s="10">
        <v>1.1100000000000001</v>
      </c>
      <c r="X18" s="9">
        <v>1.08</v>
      </c>
      <c r="Y18" s="16">
        <v>68</v>
      </c>
      <c r="Z18" s="5"/>
      <c r="AA18" s="16">
        <v>80</v>
      </c>
      <c r="AB18" s="16">
        <v>70.001000000000005</v>
      </c>
      <c r="AC18" s="91">
        <v>80</v>
      </c>
      <c r="AD18" s="5"/>
      <c r="AE18" s="486"/>
      <c r="AF18" s="487"/>
      <c r="AH18" s="37">
        <v>9</v>
      </c>
      <c r="AI18" s="37" t="s">
        <v>663</v>
      </c>
      <c r="AJ18" s="37" t="s">
        <v>51</v>
      </c>
      <c r="AK18" s="37">
        <v>2</v>
      </c>
      <c r="AL18" s="37">
        <v>1</v>
      </c>
      <c r="AM18" s="37">
        <v>1</v>
      </c>
      <c r="AN18" s="37">
        <f t="shared" si="19"/>
        <v>25</v>
      </c>
      <c r="AO18" s="196" t="s">
        <v>87</v>
      </c>
      <c r="AP18" s="37" t="s">
        <v>60</v>
      </c>
      <c r="AQ18" s="37" t="s">
        <v>60</v>
      </c>
      <c r="AR18" s="200">
        <f t="shared" si="7"/>
        <v>1.04</v>
      </c>
      <c r="AS18" s="200">
        <f t="shared" si="8"/>
        <v>1</v>
      </c>
      <c r="AT18" s="97">
        <f>CA19</f>
        <v>12.5</v>
      </c>
      <c r="AU18" s="97" t="s">
        <v>89</v>
      </c>
      <c r="AV18" s="200">
        <f t="shared" si="9"/>
        <v>15.63</v>
      </c>
      <c r="AW18" s="200">
        <f t="shared" si="20"/>
        <v>12.02</v>
      </c>
      <c r="AX18" s="200">
        <f>IF(AU18="yes",AT18,MAX(AV18:AW18))</f>
        <v>15.63</v>
      </c>
      <c r="AY18" s="97">
        <f t="shared" si="2"/>
        <v>10</v>
      </c>
      <c r="AZ18" s="97">
        <f>AY18</f>
        <v>10</v>
      </c>
      <c r="BA18" s="97">
        <f t="shared" si="16"/>
        <v>10</v>
      </c>
      <c r="BB18" s="306">
        <f>'3 Inv VD'!AH47</f>
        <v>10</v>
      </c>
      <c r="BC18" s="261">
        <f>'3 Inv VD'!AI47</f>
        <v>10</v>
      </c>
      <c r="BD18" s="307">
        <f>'3 Inv VD'!AJ47</f>
        <v>10</v>
      </c>
      <c r="BE18" s="290">
        <f t="shared" si="18"/>
        <v>6.3299999999999995E-2</v>
      </c>
      <c r="BF18" s="97">
        <f t="shared" si="17"/>
        <v>0.75</v>
      </c>
      <c r="BG18" s="97">
        <f t="shared" si="21"/>
        <v>20</v>
      </c>
      <c r="BH18" s="37">
        <f t="shared" si="4"/>
        <v>35</v>
      </c>
      <c r="BI18" s="37">
        <f t="shared" si="11"/>
        <v>36.4</v>
      </c>
      <c r="BJ18" s="37">
        <f t="shared" si="12"/>
        <v>30</v>
      </c>
      <c r="BL18" s="245" t="s">
        <v>593</v>
      </c>
      <c r="BM18" s="30"/>
      <c r="BN18" s="34" t="s">
        <v>172</v>
      </c>
      <c r="BO18" s="94">
        <v>15</v>
      </c>
      <c r="BP18" s="101" t="s">
        <v>141</v>
      </c>
      <c r="BQ18" s="30"/>
      <c r="BR18" s="42" t="s">
        <v>173</v>
      </c>
      <c r="BS18" s="36">
        <v>240</v>
      </c>
      <c r="BT18" s="105" t="s">
        <v>174</v>
      </c>
      <c r="BU18" s="30"/>
      <c r="BV18" s="42" t="s">
        <v>173</v>
      </c>
      <c r="BW18" s="36">
        <v>240</v>
      </c>
      <c r="BX18" s="105" t="s">
        <v>174</v>
      </c>
      <c r="BZ18" s="42" t="s">
        <v>173</v>
      </c>
      <c r="CA18" s="36">
        <v>240</v>
      </c>
      <c r="CB18" s="105" t="s">
        <v>174</v>
      </c>
      <c r="CY18" s="5"/>
    </row>
    <row r="19" spans="2:103" ht="15" customHeight="1" x14ac:dyDescent="0.2">
      <c r="B19" s="21" t="s">
        <v>27</v>
      </c>
      <c r="C19" s="91">
        <v>1200.001</v>
      </c>
      <c r="D19" s="91">
        <v>1600</v>
      </c>
      <c r="E19" s="5"/>
      <c r="F19" s="498" t="s">
        <v>27</v>
      </c>
      <c r="G19" s="451"/>
      <c r="H19" s="16">
        <v>200.001</v>
      </c>
      <c r="I19" s="91">
        <v>230</v>
      </c>
      <c r="J19" s="5"/>
      <c r="K19" s="498" t="s">
        <v>27</v>
      </c>
      <c r="L19" s="451"/>
      <c r="M19" s="16">
        <v>310.00099999999998</v>
      </c>
      <c r="N19" s="91">
        <v>360</v>
      </c>
      <c r="O19" s="5"/>
      <c r="T19" s="5"/>
      <c r="U19" s="16">
        <v>21</v>
      </c>
      <c r="V19" s="9">
        <v>1.08</v>
      </c>
      <c r="W19" s="10">
        <v>1.05</v>
      </c>
      <c r="X19" s="9">
        <v>1.04</v>
      </c>
      <c r="Y19" s="16">
        <v>69.800000000000011</v>
      </c>
      <c r="Z19" s="5"/>
      <c r="AA19" s="16">
        <v>90</v>
      </c>
      <c r="AB19" s="16">
        <v>80.001000000000005</v>
      </c>
      <c r="AC19" s="91">
        <v>90</v>
      </c>
      <c r="AD19" s="5"/>
      <c r="AE19" s="488"/>
      <c r="AF19" s="489"/>
      <c r="AH19" s="58" t="s">
        <v>666</v>
      </c>
      <c r="AI19" s="37" t="s">
        <v>591</v>
      </c>
      <c r="AJ19" s="37" t="s">
        <v>51</v>
      </c>
      <c r="AK19" s="37">
        <v>2</v>
      </c>
      <c r="AL19" s="37">
        <v>1</v>
      </c>
      <c r="AM19" s="37">
        <v>1</v>
      </c>
      <c r="AN19" s="37">
        <f t="shared" si="19"/>
        <v>25</v>
      </c>
      <c r="AO19" s="196" t="s">
        <v>87</v>
      </c>
      <c r="AP19" s="37" t="s">
        <v>60</v>
      </c>
      <c r="AQ19" s="37" t="s">
        <v>60</v>
      </c>
      <c r="AR19" s="200">
        <f t="shared" si="7"/>
        <v>1.04</v>
      </c>
      <c r="AS19" s="200">
        <f t="shared" si="8"/>
        <v>1</v>
      </c>
      <c r="AT19" s="97">
        <f>SUM(AT16:AT18)</f>
        <v>37.5</v>
      </c>
      <c r="AU19" s="97" t="s">
        <v>89</v>
      </c>
      <c r="AV19" s="200">
        <f t="shared" si="9"/>
        <v>46.88</v>
      </c>
      <c r="AW19" s="200">
        <f t="shared" si="20"/>
        <v>36.06</v>
      </c>
      <c r="AX19" s="200">
        <f>IF(AU19="yes",AT19,MAX(AV19:AW19))</f>
        <v>46.88</v>
      </c>
      <c r="AY19" s="97">
        <f t="shared" si="2"/>
        <v>8</v>
      </c>
      <c r="AZ19" s="97">
        <f>AY19</f>
        <v>8</v>
      </c>
      <c r="BA19" s="97">
        <f t="shared" si="16"/>
        <v>10</v>
      </c>
      <c r="BB19" s="306">
        <f>'3 Inv VD'!AH48</f>
        <v>8</v>
      </c>
      <c r="BC19" s="261">
        <f>'3 Inv VD'!AI48</f>
        <v>8</v>
      </c>
      <c r="BD19" s="307">
        <f>'3 Inv VD'!AJ48</f>
        <v>10</v>
      </c>
      <c r="BE19" s="290">
        <f t="shared" si="18"/>
        <v>9.4299999999999995E-2</v>
      </c>
      <c r="BF19" s="97">
        <f t="shared" si="17"/>
        <v>0.75</v>
      </c>
      <c r="BG19" s="97">
        <f t="shared" si="21"/>
        <v>50</v>
      </c>
      <c r="BH19" s="37">
        <f t="shared" si="4"/>
        <v>50</v>
      </c>
      <c r="BI19" s="37">
        <f t="shared" si="11"/>
        <v>52</v>
      </c>
      <c r="BJ19" s="37" t="str">
        <f t="shared" si="12"/>
        <v>N/A</v>
      </c>
      <c r="BL19" s="245" t="s">
        <v>592</v>
      </c>
      <c r="BM19" s="43"/>
      <c r="BN19" s="40" t="s">
        <v>175</v>
      </c>
      <c r="BO19" s="260">
        <f>IF(BO6="P405",85,IF(BO6="P505",85,60))</f>
        <v>60</v>
      </c>
      <c r="BP19" s="29" t="s">
        <v>133</v>
      </c>
      <c r="BQ19" s="43"/>
      <c r="BR19" s="44" t="s">
        <v>176</v>
      </c>
      <c r="BS19" s="29">
        <f>IF(BS6="SE3000H-US",12.5,IF(BS6="SE3800H-US",16,IF(BS6="SE5000H-US",21,IF(BS6="SE6000H-US",25,IF(BS6="SE7600H-US",32,IF(BS6="SE3000A-US",12.5,IF(BS6="SE3800A-US",16,IF(BS6="SE5000A-US",21,IF(BS6="SE6000A-US",25,IF(BS6="SE7600A-US",32,IF(BS6="SE10000A-US",42,IF(BS6="SE11400A-US",47.5,IF(BS6="SE10000H-US",42,IF(BS6="SE11400H-US",47.5,))))))))))))))</f>
        <v>12.5</v>
      </c>
      <c r="BT19" s="309" t="s">
        <v>97</v>
      </c>
      <c r="BU19" s="43"/>
      <c r="BV19" s="44" t="s">
        <v>176</v>
      </c>
      <c r="BW19" s="29">
        <f>IF(BW6="SE3000H-US",12.5,IF(BW6="SE3800H-US",16,IF(BW6="SE5000H-US",21,IF(BW6="SE6000H-US",25,IF(BW6="SE7600H-US",32,IF(BW6="SE3000A-US",12.5,IF(BW6="SE3800A-US",16,IF(BW6="SE5000A-US",21,IF(BW6="SE6000A-US",25,IF(BW6="SE7600A-US",32,IF(BW6="SE10000A-US",42,IF(BW6="SE11400A-US",47.5,IF(BW6="SE10000H-US",42,IF(BW6="SE11400H-US",47.5,))))))))))))))</f>
        <v>12.5</v>
      </c>
      <c r="BX19" s="309" t="s">
        <v>97</v>
      </c>
      <c r="BZ19" s="44" t="s">
        <v>176</v>
      </c>
      <c r="CA19" s="29">
        <f>IF(CA6="SE3000H-US",12.5,IF(CA6="SE3800H-US",16,IF(CA6="SE5000H-US",21,IF(CA6="SE6000H-US",25,IF(CA6="SE7600H-US",32,IF(CA6="SE3000A-US",12.5,IF(CA6="SE3800A-US",16,IF(CA6="SE5000A-US",21,IF(CA6="SE6000A-US",25,IF(CA6="SE7600A-US",32,IF(CA6="SE10000A-US",42,IF(CA6="SE11400A-US",47.5,IF(CA6="SE10000H-US",42,IF(CA6="SE11400H-US",47.5,))))))))))))))</f>
        <v>12.5</v>
      </c>
      <c r="CB19" s="309" t="s">
        <v>97</v>
      </c>
      <c r="CY19" s="5"/>
    </row>
    <row r="20" spans="2:103" ht="15" customHeight="1" x14ac:dyDescent="0.2">
      <c r="B20" s="16">
        <v>250</v>
      </c>
      <c r="C20" s="91">
        <v>1600.001</v>
      </c>
      <c r="D20" s="91">
        <v>2000</v>
      </c>
      <c r="E20" s="5"/>
      <c r="F20" s="462">
        <v>250</v>
      </c>
      <c r="G20" s="451"/>
      <c r="H20" s="16">
        <v>230.001</v>
      </c>
      <c r="I20" s="91">
        <v>255</v>
      </c>
      <c r="J20" s="5"/>
      <c r="K20" s="462">
        <v>250</v>
      </c>
      <c r="L20" s="451"/>
      <c r="M20" s="16">
        <v>360.00099999999998</v>
      </c>
      <c r="N20" s="91">
        <v>405</v>
      </c>
      <c r="O20" s="5"/>
      <c r="T20" s="5"/>
      <c r="U20" s="16">
        <v>22</v>
      </c>
      <c r="V20" s="9">
        <v>1.08</v>
      </c>
      <c r="W20" s="10">
        <v>1.05</v>
      </c>
      <c r="X20" s="9">
        <v>1.04</v>
      </c>
      <c r="Y20" s="16">
        <v>71.599999999999994</v>
      </c>
      <c r="Z20" s="5"/>
      <c r="AA20" s="16">
        <v>100</v>
      </c>
      <c r="AB20" s="16">
        <v>90.001000000000005</v>
      </c>
      <c r="AC20" s="91">
        <v>100</v>
      </c>
      <c r="AD20" s="5"/>
      <c r="BL20" s="245" t="s">
        <v>97</v>
      </c>
      <c r="BM20" s="30"/>
      <c r="BN20" s="453" t="s">
        <v>596</v>
      </c>
      <c r="BO20" s="453"/>
      <c r="BP20" s="652"/>
      <c r="BQ20" s="30"/>
      <c r="BR20" s="32"/>
      <c r="BS20" s="32"/>
      <c r="BT20" s="32"/>
      <c r="BU20" s="32"/>
      <c r="BV20" s="32"/>
      <c r="BW20" s="32"/>
      <c r="BX20" s="32"/>
      <c r="BY20" s="32"/>
      <c r="BZ20" s="32"/>
      <c r="CA20" s="32"/>
      <c r="CB20" s="32"/>
      <c r="CY20" s="5"/>
    </row>
    <row r="21" spans="2:103" ht="15" customHeight="1" x14ac:dyDescent="0.2">
      <c r="B21" s="16">
        <v>350</v>
      </c>
      <c r="C21" s="91">
        <v>2000.001</v>
      </c>
      <c r="D21" s="91">
        <v>2500</v>
      </c>
      <c r="E21" s="5"/>
      <c r="F21" s="462">
        <v>300</v>
      </c>
      <c r="G21" s="451"/>
      <c r="H21" s="16">
        <v>255.001</v>
      </c>
      <c r="I21" s="91">
        <v>285</v>
      </c>
      <c r="J21" s="5"/>
      <c r="K21" s="462">
        <v>300</v>
      </c>
      <c r="L21" s="451"/>
      <c r="M21" s="16">
        <v>405.00099999999998</v>
      </c>
      <c r="N21" s="91">
        <v>445</v>
      </c>
      <c r="O21" s="5"/>
      <c r="P21" s="5"/>
      <c r="Q21" s="5"/>
      <c r="R21" s="5"/>
      <c r="S21" s="5"/>
      <c r="T21" s="5"/>
      <c r="U21" s="16">
        <v>23</v>
      </c>
      <c r="V21" s="9">
        <v>1.08</v>
      </c>
      <c r="W21" s="10">
        <v>1.05</v>
      </c>
      <c r="X21" s="9">
        <v>1.04</v>
      </c>
      <c r="Y21" s="16">
        <v>73.400000000000006</v>
      </c>
      <c r="Z21" s="5"/>
      <c r="AA21" s="16">
        <v>110</v>
      </c>
      <c r="AB21" s="16">
        <v>100.001</v>
      </c>
      <c r="AC21" s="91">
        <v>110</v>
      </c>
      <c r="AD21" s="5"/>
      <c r="AE21" s="446" t="s">
        <v>80</v>
      </c>
      <c r="AF21" s="446"/>
      <c r="BL21" s="245" t="s">
        <v>576</v>
      </c>
      <c r="BM21" s="30"/>
      <c r="BN21" s="34" t="s">
        <v>597</v>
      </c>
      <c r="BO21" s="410" t="str">
        <f>IF(BO6="P300","SOLAREDGE P300",IF(BO6="P320","SOLAREDGE P320",IF(BO6="P370","SOLAREDGE P370",IF(BO6="P400","SOLAREDGE P400",IF(BO6="P405","SOLAREDGE P405",IF(BO6="P505","SOLAREDGE P505",))))))</f>
        <v>SOLAREDGE P320</v>
      </c>
      <c r="BP21" s="412"/>
      <c r="BQ21" s="30"/>
      <c r="BR21" s="45" t="s">
        <v>189</v>
      </c>
      <c r="BS21" s="492" t="s">
        <v>190</v>
      </c>
      <c r="BT21" s="493"/>
      <c r="BU21" s="30"/>
      <c r="BV21" s="45" t="s">
        <v>189</v>
      </c>
      <c r="BW21" s="492" t="s">
        <v>190</v>
      </c>
      <c r="BX21" s="493"/>
      <c r="BZ21" s="45" t="s">
        <v>189</v>
      </c>
      <c r="CA21" s="492" t="s">
        <v>190</v>
      </c>
      <c r="CB21" s="493"/>
    </row>
    <row r="22" spans="2:103" ht="15" customHeight="1" x14ac:dyDescent="0.2">
      <c r="B22" s="16">
        <v>400</v>
      </c>
      <c r="C22" s="91">
        <v>2500.0010000000002</v>
      </c>
      <c r="D22" s="91">
        <v>3000</v>
      </c>
      <c r="E22" s="5"/>
      <c r="F22" s="462">
        <v>350</v>
      </c>
      <c r="G22" s="451"/>
      <c r="H22" s="16">
        <v>285.00099999999998</v>
      </c>
      <c r="I22" s="91">
        <v>310</v>
      </c>
      <c r="J22" s="5"/>
      <c r="K22" s="462">
        <v>350</v>
      </c>
      <c r="L22" s="451"/>
      <c r="M22" s="16">
        <v>445.00099999999998</v>
      </c>
      <c r="N22" s="91">
        <v>505</v>
      </c>
      <c r="O22" s="5"/>
      <c r="P22" s="478" t="s">
        <v>24</v>
      </c>
      <c r="Q22" s="478"/>
      <c r="R22" s="478"/>
      <c r="S22" s="478"/>
      <c r="T22" s="5"/>
      <c r="U22" s="16">
        <v>24</v>
      </c>
      <c r="V22" s="9">
        <v>1.08</v>
      </c>
      <c r="W22" s="10">
        <v>1.05</v>
      </c>
      <c r="X22" s="9">
        <v>1.04</v>
      </c>
      <c r="Y22" s="16">
        <v>75.2</v>
      </c>
      <c r="Z22" s="5"/>
      <c r="AA22" s="16">
        <v>125</v>
      </c>
      <c r="AB22" s="16">
        <v>110.001</v>
      </c>
      <c r="AC22" s="91">
        <v>125</v>
      </c>
      <c r="AD22" s="5"/>
      <c r="AE22" s="37" t="s">
        <v>664</v>
      </c>
      <c r="AF22" s="97">
        <f>'3 Inv Input'!D26</f>
        <v>25</v>
      </c>
      <c r="AI22" s="32"/>
      <c r="AJ22" s="32"/>
      <c r="AK22" s="32"/>
      <c r="AL22" s="32"/>
      <c r="AM22" s="32"/>
      <c r="AN22" s="32"/>
      <c r="AO22" s="32"/>
      <c r="BL22" s="245" t="s">
        <v>578</v>
      </c>
      <c r="BM22" s="30"/>
      <c r="BN22" s="40" t="s">
        <v>598</v>
      </c>
      <c r="BO22" s="426">
        <f>CJ11</f>
        <v>0</v>
      </c>
      <c r="BP22" s="428"/>
      <c r="BQ22" s="30"/>
      <c r="BR22" s="34" t="s">
        <v>192</v>
      </c>
      <c r="BS22" s="46" t="s">
        <v>193</v>
      </c>
      <c r="BT22" s="46" t="s">
        <v>219</v>
      </c>
      <c r="BU22" s="30"/>
      <c r="BV22" s="34" t="s">
        <v>192</v>
      </c>
      <c r="BW22" s="46" t="s">
        <v>193</v>
      </c>
      <c r="BX22" s="46" t="s">
        <v>219</v>
      </c>
      <c r="BZ22" s="34" t="s">
        <v>192</v>
      </c>
      <c r="CA22" s="46" t="s">
        <v>193</v>
      </c>
      <c r="CB22" s="46" t="s">
        <v>219</v>
      </c>
    </row>
    <row r="23" spans="2:103" ht="15" customHeight="1" x14ac:dyDescent="0.2">
      <c r="B23" s="16">
        <v>500</v>
      </c>
      <c r="C23" s="91">
        <v>3000.0010000000002</v>
      </c>
      <c r="D23" s="91">
        <v>4000</v>
      </c>
      <c r="E23" s="5"/>
      <c r="F23" s="462">
        <v>400</v>
      </c>
      <c r="G23" s="451"/>
      <c r="H23" s="16">
        <v>310.00099999999998</v>
      </c>
      <c r="I23" s="91">
        <v>335</v>
      </c>
      <c r="J23" s="5"/>
      <c r="K23" s="462">
        <v>400</v>
      </c>
      <c r="L23" s="451"/>
      <c r="M23" s="16">
        <v>505.00099999999998</v>
      </c>
      <c r="N23" s="91">
        <v>545</v>
      </c>
      <c r="O23" s="5"/>
      <c r="T23" s="5"/>
      <c r="U23" s="16">
        <v>25</v>
      </c>
      <c r="V23" s="9">
        <v>1.08</v>
      </c>
      <c r="W23" s="10">
        <v>1.05</v>
      </c>
      <c r="X23" s="9">
        <v>1.04</v>
      </c>
      <c r="Y23" s="16">
        <v>77</v>
      </c>
      <c r="Z23" s="5"/>
      <c r="AA23" s="16">
        <v>150</v>
      </c>
      <c r="AB23" s="16">
        <v>125.001</v>
      </c>
      <c r="AC23" s="91">
        <v>150</v>
      </c>
      <c r="AD23" s="5"/>
      <c r="AE23" s="37" t="s">
        <v>225</v>
      </c>
      <c r="AF23" s="97">
        <f>'3 Inv Input'!D27</f>
        <v>-25</v>
      </c>
      <c r="AI23" s="32"/>
      <c r="AJ23" s="32"/>
      <c r="AK23" s="32"/>
      <c r="AL23" s="32"/>
      <c r="AM23" s="32"/>
      <c r="AN23" s="32"/>
      <c r="AO23" s="32"/>
      <c r="BL23" s="245" t="s">
        <v>571</v>
      </c>
      <c r="BM23" s="30"/>
      <c r="BQ23" s="30"/>
      <c r="BR23" s="35" t="s">
        <v>195</v>
      </c>
      <c r="BS23" s="101" t="s">
        <v>196</v>
      </c>
      <c r="BT23" s="101">
        <v>5250</v>
      </c>
      <c r="BU23" s="30"/>
      <c r="BV23" s="35" t="s">
        <v>195</v>
      </c>
      <c r="BW23" s="101" t="s">
        <v>196</v>
      </c>
      <c r="BX23" s="101">
        <v>5250</v>
      </c>
      <c r="BZ23" s="35" t="s">
        <v>195</v>
      </c>
      <c r="CA23" s="101" t="s">
        <v>196</v>
      </c>
      <c r="CB23" s="101">
        <v>5250</v>
      </c>
    </row>
    <row r="24" spans="2:103" ht="15" customHeight="1" x14ac:dyDescent="0.2">
      <c r="B24" s="16">
        <v>700</v>
      </c>
      <c r="C24" s="91">
        <v>4000.0010000000002</v>
      </c>
      <c r="D24" s="91">
        <v>5000</v>
      </c>
      <c r="E24" s="5"/>
      <c r="F24" s="462">
        <v>500</v>
      </c>
      <c r="G24" s="451"/>
      <c r="H24" s="16">
        <v>335.00099999999998</v>
      </c>
      <c r="I24" s="91">
        <v>380</v>
      </c>
      <c r="J24" s="5"/>
      <c r="K24" s="462">
        <v>500</v>
      </c>
      <c r="L24" s="451"/>
      <c r="M24" s="16">
        <v>545.00099999999998</v>
      </c>
      <c r="N24" s="91">
        <v>620</v>
      </c>
      <c r="O24" s="5"/>
      <c r="P24" s="472" t="s">
        <v>26</v>
      </c>
      <c r="Q24" s="473"/>
      <c r="R24" s="473"/>
      <c r="S24" s="474"/>
      <c r="T24" s="5"/>
      <c r="U24" s="16">
        <v>26</v>
      </c>
      <c r="V24" s="9">
        <v>1</v>
      </c>
      <c r="W24" s="10">
        <v>1</v>
      </c>
      <c r="X24" s="9">
        <v>1</v>
      </c>
      <c r="Y24" s="16">
        <v>78.800000000000011</v>
      </c>
      <c r="Z24" s="5"/>
      <c r="AA24" s="16">
        <v>175</v>
      </c>
      <c r="AB24" s="16">
        <v>150.001</v>
      </c>
      <c r="AC24" s="91">
        <v>175</v>
      </c>
      <c r="AD24" s="5"/>
      <c r="AE24" s="37" t="s">
        <v>665</v>
      </c>
      <c r="AF24" s="207">
        <f>(AF22*1.8)+32</f>
        <v>77</v>
      </c>
      <c r="AI24" s="32"/>
      <c r="AJ24" s="32"/>
      <c r="AK24" s="32"/>
      <c r="AL24" s="32"/>
      <c r="AM24" s="32"/>
      <c r="AN24" s="32"/>
      <c r="AO24" s="32"/>
      <c r="BL24" s="245" t="s">
        <v>542</v>
      </c>
      <c r="BM24" s="30"/>
      <c r="BN24" s="247" t="s">
        <v>600</v>
      </c>
      <c r="BO24" s="30"/>
      <c r="BP24" s="30"/>
      <c r="BQ24" s="30"/>
      <c r="BR24" s="35" t="s">
        <v>198</v>
      </c>
      <c r="BS24" s="36" t="s">
        <v>199</v>
      </c>
      <c r="BT24" s="36">
        <v>5250</v>
      </c>
      <c r="BU24" s="30"/>
      <c r="BV24" s="35" t="s">
        <v>198</v>
      </c>
      <c r="BW24" s="36" t="s">
        <v>199</v>
      </c>
      <c r="BX24" s="36">
        <v>5250</v>
      </c>
      <c r="BZ24" s="35" t="s">
        <v>198</v>
      </c>
      <c r="CA24" s="36" t="s">
        <v>199</v>
      </c>
      <c r="CB24" s="36">
        <v>5250</v>
      </c>
    </row>
    <row r="25" spans="2:103" ht="15" customHeight="1" x14ac:dyDescent="0.2">
      <c r="B25" s="92">
        <v>800</v>
      </c>
      <c r="C25" s="98">
        <v>5000.0010000000002</v>
      </c>
      <c r="D25" s="98">
        <v>6000</v>
      </c>
      <c r="E25" s="5"/>
      <c r="F25" s="462">
        <v>600</v>
      </c>
      <c r="G25" s="451"/>
      <c r="H25" s="16">
        <v>380.00099999999998</v>
      </c>
      <c r="I25" s="91">
        <v>420</v>
      </c>
      <c r="J25" s="5"/>
      <c r="K25" s="462">
        <v>600</v>
      </c>
      <c r="L25" s="451"/>
      <c r="M25" s="16">
        <v>620.00099999999998</v>
      </c>
      <c r="N25" s="91">
        <v>690</v>
      </c>
      <c r="O25" s="5"/>
      <c r="P25" s="475"/>
      <c r="Q25" s="476"/>
      <c r="R25" s="476"/>
      <c r="S25" s="477"/>
      <c r="T25" s="5"/>
      <c r="U25" s="16">
        <v>27</v>
      </c>
      <c r="V25" s="9">
        <v>1</v>
      </c>
      <c r="W25" s="10">
        <v>1</v>
      </c>
      <c r="X25" s="9">
        <v>1</v>
      </c>
      <c r="Y25" s="16">
        <v>80.599999999999994</v>
      </c>
      <c r="Z25" s="5"/>
      <c r="AA25" s="16">
        <v>200</v>
      </c>
      <c r="AB25" s="16">
        <v>175.001</v>
      </c>
      <c r="AC25" s="91">
        <v>200</v>
      </c>
      <c r="AD25" s="5"/>
      <c r="AE25" s="37" t="s">
        <v>226</v>
      </c>
      <c r="AF25" s="207">
        <f>(AF23*1.8)+32</f>
        <v>-13</v>
      </c>
      <c r="AI25" s="32"/>
      <c r="AJ25" s="32"/>
      <c r="AK25" s="32"/>
      <c r="AL25" s="32"/>
      <c r="AM25" s="32"/>
      <c r="AN25" s="32"/>
      <c r="AO25" s="32"/>
      <c r="AP25" s="206"/>
      <c r="AQ25" s="206"/>
      <c r="AR25" s="206"/>
      <c r="AS25" s="206"/>
      <c r="AT25" s="206"/>
      <c r="AU25" s="5"/>
      <c r="AV25" s="206"/>
      <c r="AW25" s="206"/>
      <c r="AX25" s="206"/>
      <c r="BL25" s="245" t="s">
        <v>599</v>
      </c>
      <c r="BM25" s="30"/>
      <c r="BN25" s="35" t="s">
        <v>601</v>
      </c>
      <c r="BO25" s="30"/>
      <c r="BP25" s="30"/>
      <c r="BQ25" s="30"/>
      <c r="BR25" s="35" t="s">
        <v>201</v>
      </c>
      <c r="BS25" s="36" t="s">
        <v>202</v>
      </c>
      <c r="BT25" s="36">
        <v>5250</v>
      </c>
      <c r="BU25" s="30"/>
      <c r="BV25" s="35" t="s">
        <v>201</v>
      </c>
      <c r="BW25" s="36" t="s">
        <v>202</v>
      </c>
      <c r="BX25" s="36">
        <v>5250</v>
      </c>
      <c r="BZ25" s="35" t="s">
        <v>201</v>
      </c>
      <c r="CA25" s="36" t="s">
        <v>202</v>
      </c>
      <c r="CB25" s="36">
        <v>5250</v>
      </c>
    </row>
    <row r="26" spans="2:103" ht="15" customHeight="1" x14ac:dyDescent="0.2">
      <c r="B26" s="5"/>
      <c r="C26" s="5"/>
      <c r="D26" s="5"/>
      <c r="E26" s="5"/>
      <c r="F26" s="462">
        <v>700</v>
      </c>
      <c r="G26" s="451"/>
      <c r="H26" s="16">
        <v>420.00099999999998</v>
      </c>
      <c r="I26" s="91">
        <v>460</v>
      </c>
      <c r="J26" s="5"/>
      <c r="K26" s="462">
        <v>700</v>
      </c>
      <c r="L26" s="451"/>
      <c r="M26" s="16">
        <v>690.00099999999998</v>
      </c>
      <c r="N26" s="91">
        <v>755</v>
      </c>
      <c r="O26" s="5"/>
      <c r="P26" s="471" t="s">
        <v>18</v>
      </c>
      <c r="Q26" s="471"/>
      <c r="R26" s="490" t="s">
        <v>25</v>
      </c>
      <c r="S26" s="491"/>
      <c r="T26" s="5"/>
      <c r="U26" s="16">
        <v>28</v>
      </c>
      <c r="V26" s="9">
        <v>1</v>
      </c>
      <c r="W26" s="10">
        <v>1</v>
      </c>
      <c r="X26" s="9">
        <v>1</v>
      </c>
      <c r="Y26" s="16">
        <v>82.4</v>
      </c>
      <c r="Z26" s="5"/>
      <c r="AA26" s="16">
        <v>225</v>
      </c>
      <c r="AB26" s="16">
        <v>200.001</v>
      </c>
      <c r="AC26" s="91">
        <v>225</v>
      </c>
      <c r="AD26" s="5"/>
      <c r="AE26" s="37" t="s">
        <v>777</v>
      </c>
      <c r="AF26" s="207">
        <f>((AF22+33)*1.8)+32</f>
        <v>136.4</v>
      </c>
      <c r="AI26" s="32"/>
      <c r="AJ26" s="32"/>
      <c r="AK26" s="32"/>
      <c r="AL26" s="32"/>
      <c r="AM26" s="32"/>
      <c r="AN26" s="32"/>
      <c r="AO26" s="32"/>
      <c r="AP26" s="206"/>
      <c r="AQ26" s="206"/>
      <c r="AR26" s="206"/>
      <c r="AS26" s="206"/>
      <c r="AT26" s="206"/>
      <c r="AU26" s="291"/>
      <c r="AV26" s="206"/>
      <c r="AW26" s="206"/>
      <c r="AX26" s="206"/>
      <c r="BL26" s="245"/>
      <c r="BM26" s="30"/>
      <c r="BN26" s="35" t="s">
        <v>194</v>
      </c>
      <c r="BO26" s="30"/>
      <c r="BP26" s="30"/>
      <c r="BQ26" s="30"/>
      <c r="BR26" s="35" t="s">
        <v>205</v>
      </c>
      <c r="BS26" s="36" t="s">
        <v>206</v>
      </c>
      <c r="BT26" s="36">
        <v>5250</v>
      </c>
      <c r="BU26" s="30"/>
      <c r="BV26" s="35" t="s">
        <v>205</v>
      </c>
      <c r="BW26" s="36" t="s">
        <v>206</v>
      </c>
      <c r="BX26" s="36">
        <v>5250</v>
      </c>
      <c r="BZ26" s="35" t="s">
        <v>205</v>
      </c>
      <c r="CA26" s="36" t="s">
        <v>206</v>
      </c>
      <c r="CB26" s="36">
        <v>5250</v>
      </c>
    </row>
    <row r="27" spans="2:103" ht="15" customHeight="1" x14ac:dyDescent="0.2">
      <c r="B27" s="5"/>
      <c r="C27" s="5"/>
      <c r="D27" s="5"/>
      <c r="E27" s="5"/>
      <c r="F27" s="462">
        <v>750</v>
      </c>
      <c r="G27" s="451"/>
      <c r="H27" s="16">
        <v>460.00099999999998</v>
      </c>
      <c r="I27" s="91">
        <v>475</v>
      </c>
      <c r="J27" s="5"/>
      <c r="K27" s="462">
        <v>750</v>
      </c>
      <c r="L27" s="451"/>
      <c r="M27" s="16">
        <v>755.00099999999998</v>
      </c>
      <c r="N27" s="91">
        <v>785</v>
      </c>
      <c r="O27" s="5"/>
      <c r="P27" s="469">
        <v>14</v>
      </c>
      <c r="Q27" s="470"/>
      <c r="R27" s="469">
        <v>9.7000000000000003E-3</v>
      </c>
      <c r="S27" s="470"/>
      <c r="T27" s="5"/>
      <c r="U27" s="16">
        <v>29</v>
      </c>
      <c r="V27" s="9">
        <v>1</v>
      </c>
      <c r="W27" s="10">
        <v>1</v>
      </c>
      <c r="X27" s="9">
        <v>1</v>
      </c>
      <c r="Y27" s="16">
        <v>84.2</v>
      </c>
      <c r="Z27" s="5"/>
      <c r="AA27" s="16">
        <v>250</v>
      </c>
      <c r="AB27" s="16">
        <v>225.001</v>
      </c>
      <c r="AC27" s="91">
        <v>250</v>
      </c>
      <c r="AD27" s="5"/>
      <c r="AE27" s="5"/>
      <c r="AF27" s="5"/>
      <c r="AO27" s="206"/>
      <c r="AP27" s="206"/>
      <c r="AQ27" s="206"/>
      <c r="AR27" s="206"/>
      <c r="AS27" s="206"/>
      <c r="AT27" s="206"/>
      <c r="AU27" s="291"/>
      <c r="AV27" s="206"/>
      <c r="AW27" s="206"/>
      <c r="AX27" s="206"/>
      <c r="BL27" s="245" t="s">
        <v>599</v>
      </c>
      <c r="BM27" s="30"/>
      <c r="BN27" s="35" t="s">
        <v>197</v>
      </c>
      <c r="BO27" s="30"/>
      <c r="BP27" s="30"/>
      <c r="BQ27" s="30"/>
      <c r="BR27" s="35" t="s">
        <v>212</v>
      </c>
      <c r="BS27" s="36" t="s">
        <v>208</v>
      </c>
      <c r="BT27" s="36">
        <v>5250</v>
      </c>
      <c r="BU27" s="30"/>
      <c r="BV27" s="35" t="s">
        <v>212</v>
      </c>
      <c r="BW27" s="36" t="s">
        <v>208</v>
      </c>
      <c r="BX27" s="36">
        <v>5250</v>
      </c>
      <c r="BZ27" s="35" t="s">
        <v>212</v>
      </c>
      <c r="CA27" s="36" t="s">
        <v>208</v>
      </c>
      <c r="CB27" s="36">
        <v>5250</v>
      </c>
    </row>
    <row r="28" spans="2:103" ht="15" customHeight="1" x14ac:dyDescent="0.2">
      <c r="B28" s="5"/>
      <c r="C28" s="5"/>
      <c r="D28" s="5"/>
      <c r="E28" s="5"/>
      <c r="F28" s="462">
        <v>800</v>
      </c>
      <c r="G28" s="451"/>
      <c r="H28" s="16">
        <v>475.00099999999998</v>
      </c>
      <c r="I28" s="91">
        <v>490</v>
      </c>
      <c r="J28" s="5"/>
      <c r="K28" s="462">
        <v>800</v>
      </c>
      <c r="L28" s="451"/>
      <c r="M28" s="16">
        <v>785.00099999999998</v>
      </c>
      <c r="N28" s="91">
        <v>815</v>
      </c>
      <c r="O28" s="5"/>
      <c r="P28" s="462">
        <v>12</v>
      </c>
      <c r="Q28" s="451"/>
      <c r="R28" s="462">
        <v>1.3299999999999999E-2</v>
      </c>
      <c r="S28" s="451"/>
      <c r="T28" s="5"/>
      <c r="U28" s="16">
        <v>30</v>
      </c>
      <c r="V28" s="9">
        <v>1</v>
      </c>
      <c r="W28" s="10">
        <v>1</v>
      </c>
      <c r="X28" s="9">
        <v>1</v>
      </c>
      <c r="Y28" s="16">
        <v>86</v>
      </c>
      <c r="Z28" s="5"/>
      <c r="AA28" s="16">
        <v>300</v>
      </c>
      <c r="AB28" s="16">
        <v>250.001</v>
      </c>
      <c r="AC28" s="91">
        <v>300</v>
      </c>
      <c r="AD28" s="5"/>
      <c r="AE28" s="5"/>
      <c r="AF28" s="5"/>
      <c r="AO28" s="206"/>
      <c r="AP28" s="206"/>
      <c r="AQ28" s="206"/>
      <c r="AR28" s="206"/>
      <c r="AS28" s="206"/>
      <c r="AT28" s="206"/>
      <c r="AU28" s="5"/>
      <c r="AV28" s="206"/>
      <c r="AW28" s="206"/>
      <c r="AX28" s="206"/>
      <c r="BA28" s="189"/>
      <c r="BB28" s="189"/>
      <c r="BC28" s="189"/>
      <c r="BD28" s="189"/>
      <c r="BE28" s="189"/>
      <c r="BL28" s="245" t="s">
        <v>576</v>
      </c>
      <c r="BM28" s="30"/>
      <c r="BN28" s="35" t="s">
        <v>200</v>
      </c>
      <c r="BO28" s="30"/>
      <c r="BP28" s="30"/>
      <c r="BQ28" s="30"/>
      <c r="BR28" s="35" t="s">
        <v>213</v>
      </c>
      <c r="BS28" s="36" t="s">
        <v>209</v>
      </c>
      <c r="BT28" s="36">
        <v>5250</v>
      </c>
      <c r="BU28" s="30"/>
      <c r="BV28" s="35" t="s">
        <v>213</v>
      </c>
      <c r="BW28" s="36" t="s">
        <v>209</v>
      </c>
      <c r="BX28" s="36">
        <v>5250</v>
      </c>
      <c r="BZ28" s="35" t="s">
        <v>213</v>
      </c>
      <c r="CA28" s="36" t="s">
        <v>209</v>
      </c>
      <c r="CB28" s="36">
        <v>5250</v>
      </c>
    </row>
    <row r="29" spans="2:103" ht="15" customHeight="1" x14ac:dyDescent="0.2">
      <c r="B29" s="5"/>
      <c r="C29" s="5"/>
      <c r="D29" s="5"/>
      <c r="E29" s="5"/>
      <c r="F29" s="462">
        <v>900</v>
      </c>
      <c r="G29" s="451"/>
      <c r="H29" s="16">
        <v>490.00099999999998</v>
      </c>
      <c r="I29" s="91">
        <v>520</v>
      </c>
      <c r="J29" s="5"/>
      <c r="K29" s="462">
        <v>900</v>
      </c>
      <c r="L29" s="451"/>
      <c r="M29" s="16">
        <v>815.00099999999998</v>
      </c>
      <c r="N29" s="91">
        <v>870</v>
      </c>
      <c r="O29" s="5"/>
      <c r="P29" s="462">
        <v>10</v>
      </c>
      <c r="Q29" s="451"/>
      <c r="R29" s="462">
        <v>2.1100000000000001E-2</v>
      </c>
      <c r="S29" s="451"/>
      <c r="T29" s="5"/>
      <c r="U29" s="16">
        <v>31</v>
      </c>
      <c r="V29" s="9">
        <v>0.91</v>
      </c>
      <c r="W29" s="10">
        <v>0.94</v>
      </c>
      <c r="X29" s="9">
        <v>0.96</v>
      </c>
      <c r="Y29" s="16">
        <v>87.800000000000011</v>
      </c>
      <c r="Z29" s="5"/>
      <c r="AA29" s="16">
        <v>350</v>
      </c>
      <c r="AB29" s="16">
        <v>300.00099999999998</v>
      </c>
      <c r="AC29" s="91">
        <v>350</v>
      </c>
      <c r="AD29" s="5"/>
      <c r="AE29" s="5"/>
      <c r="AF29" s="5"/>
      <c r="AO29" s="206"/>
      <c r="AP29" s="206"/>
      <c r="AQ29" s="206"/>
      <c r="AR29" s="206"/>
      <c r="AS29" s="206"/>
      <c r="AT29" s="206"/>
      <c r="AV29" s="206"/>
      <c r="AW29" s="206"/>
      <c r="AX29" s="206"/>
      <c r="BL29" s="245" t="s">
        <v>97</v>
      </c>
      <c r="BM29" s="30"/>
      <c r="BN29" s="35" t="s">
        <v>204</v>
      </c>
      <c r="BO29" s="30"/>
      <c r="BP29" s="30"/>
      <c r="BQ29" s="30"/>
      <c r="BR29" s="35" t="s">
        <v>196</v>
      </c>
      <c r="BS29" s="36" t="s">
        <v>211</v>
      </c>
      <c r="BT29" s="36">
        <v>5250</v>
      </c>
      <c r="BU29" s="30"/>
      <c r="BV29" s="35" t="s">
        <v>196</v>
      </c>
      <c r="BW29" s="36" t="s">
        <v>211</v>
      </c>
      <c r="BX29" s="36">
        <v>5250</v>
      </c>
      <c r="BZ29" s="35" t="s">
        <v>196</v>
      </c>
      <c r="CA29" s="36" t="s">
        <v>211</v>
      </c>
      <c r="CB29" s="36">
        <v>5250</v>
      </c>
    </row>
    <row r="30" spans="2:103" ht="15" customHeight="1" x14ac:dyDescent="0.2">
      <c r="B30" s="5"/>
      <c r="C30" s="5"/>
      <c r="D30" s="5"/>
      <c r="E30" s="5"/>
      <c r="F30" s="462">
        <v>1000</v>
      </c>
      <c r="G30" s="451"/>
      <c r="H30" s="16">
        <v>520.00099999999998</v>
      </c>
      <c r="I30" s="91">
        <v>545</v>
      </c>
      <c r="J30" s="5"/>
      <c r="K30" s="462">
        <v>1000</v>
      </c>
      <c r="L30" s="451"/>
      <c r="M30" s="16">
        <v>870.00099999999998</v>
      </c>
      <c r="N30" s="91">
        <v>935</v>
      </c>
      <c r="O30" s="5"/>
      <c r="P30" s="462">
        <v>8</v>
      </c>
      <c r="Q30" s="451"/>
      <c r="R30" s="462">
        <v>3.6600000000000001E-2</v>
      </c>
      <c r="S30" s="451"/>
      <c r="T30" s="5"/>
      <c r="U30" s="16">
        <v>32</v>
      </c>
      <c r="V30" s="9">
        <v>0.91</v>
      </c>
      <c r="W30" s="10">
        <v>0.94</v>
      </c>
      <c r="X30" s="9">
        <v>0.96</v>
      </c>
      <c r="Y30" s="16">
        <v>89.6</v>
      </c>
      <c r="Z30" s="5"/>
      <c r="AA30" s="16">
        <v>400</v>
      </c>
      <c r="AB30" s="16">
        <v>350.00099999999998</v>
      </c>
      <c r="AC30" s="91">
        <v>400</v>
      </c>
      <c r="AD30" s="5"/>
      <c r="AE30" s="5"/>
      <c r="AF30" s="5"/>
      <c r="AO30" s="206"/>
      <c r="AP30" s="206"/>
      <c r="AQ30" s="206"/>
      <c r="AR30" s="206"/>
      <c r="AS30" s="206"/>
      <c r="AT30" s="206"/>
      <c r="AU30" s="2"/>
      <c r="AV30" s="206"/>
      <c r="AW30" s="206"/>
      <c r="AX30" s="206"/>
      <c r="BL30" s="245" t="s">
        <v>589</v>
      </c>
      <c r="BM30" s="30"/>
      <c r="BN30" s="40" t="s">
        <v>207</v>
      </c>
      <c r="BO30" s="30"/>
      <c r="BP30" s="30"/>
      <c r="BQ30" s="30"/>
      <c r="BR30" s="35" t="s">
        <v>199</v>
      </c>
      <c r="BS30" s="36" t="s">
        <v>192</v>
      </c>
      <c r="BT30" s="36">
        <v>5700</v>
      </c>
      <c r="BU30" s="30"/>
      <c r="BV30" s="35" t="s">
        <v>199</v>
      </c>
      <c r="BW30" s="36" t="s">
        <v>192</v>
      </c>
      <c r="BX30" s="36">
        <v>5700</v>
      </c>
      <c r="BZ30" s="35" t="s">
        <v>199</v>
      </c>
      <c r="CA30" s="36" t="s">
        <v>192</v>
      </c>
      <c r="CB30" s="36">
        <v>5700</v>
      </c>
    </row>
    <row r="31" spans="2:103" ht="15" customHeight="1" x14ac:dyDescent="0.2">
      <c r="B31" s="5"/>
      <c r="C31" s="5"/>
      <c r="D31" s="5"/>
      <c r="E31" s="5"/>
      <c r="F31" s="462">
        <v>1250</v>
      </c>
      <c r="G31" s="451"/>
      <c r="H31" s="16">
        <v>545.00099999999998</v>
      </c>
      <c r="I31" s="91">
        <v>590</v>
      </c>
      <c r="J31" s="5"/>
      <c r="K31" s="462">
        <v>1250</v>
      </c>
      <c r="L31" s="451"/>
      <c r="M31" s="16">
        <v>935.00099999999998</v>
      </c>
      <c r="N31" s="91">
        <v>1065</v>
      </c>
      <c r="O31" s="5"/>
      <c r="P31" s="462">
        <v>6</v>
      </c>
      <c r="Q31" s="451"/>
      <c r="R31" s="462">
        <v>5.0700000000000002E-2</v>
      </c>
      <c r="S31" s="451"/>
      <c r="T31" s="5"/>
      <c r="U31" s="16">
        <v>33</v>
      </c>
      <c r="V31" s="9">
        <v>0.91</v>
      </c>
      <c r="W31" s="10">
        <v>0.94</v>
      </c>
      <c r="X31" s="9">
        <v>0.96</v>
      </c>
      <c r="Y31" s="16">
        <v>91.4</v>
      </c>
      <c r="Z31" s="5"/>
      <c r="AA31" s="16">
        <v>450</v>
      </c>
      <c r="AB31" s="16">
        <v>400.00099999999998</v>
      </c>
      <c r="AC31" s="91">
        <v>450</v>
      </c>
      <c r="AD31" s="5"/>
      <c r="AE31" s="5"/>
      <c r="AF31" s="5"/>
      <c r="AO31" s="206"/>
      <c r="AP31" s="206"/>
      <c r="AQ31" s="206"/>
      <c r="AR31" s="206"/>
      <c r="AS31" s="206"/>
      <c r="AT31" s="206"/>
      <c r="AU31" s="5"/>
      <c r="AV31" s="292"/>
      <c r="AW31" s="292"/>
      <c r="AX31" s="292"/>
      <c r="AY31" s="292"/>
      <c r="AZ31" s="292"/>
      <c r="BA31" s="292"/>
      <c r="BB31" s="292"/>
      <c r="BC31" s="292"/>
      <c r="BD31" s="292"/>
      <c r="BE31" s="292"/>
      <c r="BL31" s="245" t="s">
        <v>576</v>
      </c>
      <c r="BM31" s="30"/>
      <c r="BN31" s="30"/>
      <c r="BO31" s="30"/>
      <c r="BP31" s="30"/>
      <c r="BQ31" s="30"/>
      <c r="BR31" s="35" t="s">
        <v>202</v>
      </c>
      <c r="BS31" s="36" t="s">
        <v>195</v>
      </c>
      <c r="BT31" s="36">
        <v>5700</v>
      </c>
      <c r="BU31" s="30"/>
      <c r="BV31" s="35" t="s">
        <v>202</v>
      </c>
      <c r="BW31" s="36" t="s">
        <v>195</v>
      </c>
      <c r="BX31" s="36">
        <v>5700</v>
      </c>
      <c r="BZ31" s="35" t="s">
        <v>202</v>
      </c>
      <c r="CA31" s="36" t="s">
        <v>195</v>
      </c>
      <c r="CB31" s="36">
        <v>5700</v>
      </c>
    </row>
    <row r="32" spans="2:103" ht="15" customHeight="1" x14ac:dyDescent="0.2">
      <c r="B32" s="5"/>
      <c r="C32" s="5"/>
      <c r="D32" s="5"/>
      <c r="E32" s="5"/>
      <c r="F32" s="462">
        <v>1500</v>
      </c>
      <c r="G32" s="451"/>
      <c r="H32" s="16">
        <v>590.00099999999998</v>
      </c>
      <c r="I32" s="91">
        <v>625</v>
      </c>
      <c r="J32" s="5"/>
      <c r="K32" s="462">
        <v>1500</v>
      </c>
      <c r="L32" s="451"/>
      <c r="M32" s="16">
        <v>1065.001</v>
      </c>
      <c r="N32" s="91">
        <v>1175</v>
      </c>
      <c r="O32" s="5"/>
      <c r="P32" s="462">
        <v>4</v>
      </c>
      <c r="Q32" s="451"/>
      <c r="R32" s="462">
        <v>8.2400000000000001E-2</v>
      </c>
      <c r="S32" s="451"/>
      <c r="T32" s="5"/>
      <c r="U32" s="16">
        <v>34</v>
      </c>
      <c r="V32" s="9">
        <v>0.91</v>
      </c>
      <c r="W32" s="10">
        <v>0.94</v>
      </c>
      <c r="X32" s="9">
        <v>0.96</v>
      </c>
      <c r="Y32" s="16">
        <v>93.2</v>
      </c>
      <c r="Z32" s="5"/>
      <c r="AA32" s="16">
        <v>500</v>
      </c>
      <c r="AB32" s="16">
        <v>450.00099999999998</v>
      </c>
      <c r="AC32" s="91">
        <v>500</v>
      </c>
      <c r="AD32" s="5"/>
      <c r="AE32" s="5"/>
      <c r="AF32" s="5"/>
      <c r="AI32" s="206"/>
      <c r="AJ32" s="206"/>
      <c r="AK32" s="206"/>
      <c r="AL32" s="206"/>
      <c r="AM32" s="206"/>
      <c r="AN32" s="206"/>
      <c r="AO32" s="206"/>
      <c r="AP32" s="206"/>
      <c r="AQ32" s="206"/>
      <c r="AR32" s="206"/>
      <c r="AS32" s="206"/>
      <c r="AT32" s="206"/>
      <c r="AU32" s="291"/>
      <c r="AV32" s="292"/>
      <c r="AW32" s="292"/>
      <c r="AX32" s="292"/>
      <c r="AY32" s="292"/>
      <c r="AZ32" s="292"/>
      <c r="BA32" s="292"/>
      <c r="BB32" s="292"/>
      <c r="BC32" s="292"/>
      <c r="BD32" s="292"/>
      <c r="BE32" s="292"/>
      <c r="BL32" s="245"/>
      <c r="BM32" s="30"/>
      <c r="BN32" s="30"/>
      <c r="BO32" s="30"/>
      <c r="BP32" s="30"/>
      <c r="BQ32" s="30"/>
      <c r="BR32" s="35" t="s">
        <v>206</v>
      </c>
      <c r="BS32" s="36" t="s">
        <v>198</v>
      </c>
      <c r="BT32" s="36">
        <v>5700</v>
      </c>
      <c r="BU32" s="30"/>
      <c r="BV32" s="35" t="s">
        <v>206</v>
      </c>
      <c r="BW32" s="36" t="s">
        <v>198</v>
      </c>
      <c r="BX32" s="36">
        <v>5700</v>
      </c>
      <c r="BZ32" s="35" t="s">
        <v>206</v>
      </c>
      <c r="CA32" s="36" t="s">
        <v>198</v>
      </c>
      <c r="CB32" s="36">
        <v>5700</v>
      </c>
    </row>
    <row r="33" spans="2:103" ht="15" customHeight="1" x14ac:dyDescent="0.2">
      <c r="B33" s="5"/>
      <c r="C33" s="5"/>
      <c r="D33" s="5"/>
      <c r="E33" s="5"/>
      <c r="F33" s="462">
        <v>1750</v>
      </c>
      <c r="G33" s="451"/>
      <c r="H33" s="16">
        <v>625.00099999999998</v>
      </c>
      <c r="I33" s="91">
        <v>650</v>
      </c>
      <c r="J33" s="5"/>
      <c r="K33" s="462">
        <v>1750</v>
      </c>
      <c r="L33" s="451"/>
      <c r="M33" s="16">
        <v>1175.001</v>
      </c>
      <c r="N33" s="91">
        <v>1280</v>
      </c>
      <c r="O33" s="5"/>
      <c r="P33" s="462">
        <v>3</v>
      </c>
      <c r="Q33" s="451"/>
      <c r="R33" s="462">
        <v>9.7299999999999998E-2</v>
      </c>
      <c r="S33" s="451"/>
      <c r="T33" s="5"/>
      <c r="U33" s="16">
        <v>35</v>
      </c>
      <c r="V33" s="9">
        <v>0.91</v>
      </c>
      <c r="W33" s="10">
        <v>0.94</v>
      </c>
      <c r="X33" s="9">
        <v>0.96</v>
      </c>
      <c r="Y33" s="16">
        <v>95</v>
      </c>
      <c r="Z33" s="5"/>
      <c r="AA33" s="16">
        <v>600</v>
      </c>
      <c r="AB33" s="16">
        <v>500.00099999999998</v>
      </c>
      <c r="AC33" s="91">
        <v>600</v>
      </c>
      <c r="AD33" s="5"/>
      <c r="AE33" s="5"/>
      <c r="AF33" s="5"/>
      <c r="AI33" s="206"/>
      <c r="AJ33" s="206"/>
      <c r="AK33" s="206"/>
      <c r="AL33" s="206"/>
      <c r="AM33" s="206"/>
      <c r="AN33" s="206"/>
      <c r="AO33" s="206"/>
      <c r="AP33" s="206"/>
      <c r="AQ33" s="206"/>
      <c r="AR33" s="206"/>
      <c r="AS33" s="206"/>
      <c r="AT33" s="206"/>
      <c r="AU33" s="291"/>
      <c r="AV33" s="292"/>
      <c r="AW33" s="292"/>
      <c r="AX33" s="292"/>
      <c r="AY33" s="292"/>
      <c r="AZ33" s="292"/>
      <c r="BA33" s="292"/>
      <c r="BB33" s="292"/>
      <c r="BC33" s="292"/>
      <c r="BD33" s="292"/>
      <c r="BE33" s="292"/>
      <c r="BL33" s="245" t="s">
        <v>603</v>
      </c>
      <c r="BM33" s="30"/>
      <c r="BN33" s="30"/>
      <c r="BO33" s="30"/>
      <c r="BP33" s="30"/>
      <c r="BQ33" s="30"/>
      <c r="BR33" s="35" t="s">
        <v>208</v>
      </c>
      <c r="BS33" s="36" t="s">
        <v>201</v>
      </c>
      <c r="BT33" s="36">
        <v>5700</v>
      </c>
      <c r="BU33" s="30"/>
      <c r="BV33" s="35" t="s">
        <v>208</v>
      </c>
      <c r="BW33" s="36" t="s">
        <v>201</v>
      </c>
      <c r="BX33" s="36">
        <v>5700</v>
      </c>
      <c r="BZ33" s="35" t="s">
        <v>208</v>
      </c>
      <c r="CA33" s="36" t="s">
        <v>201</v>
      </c>
      <c r="CB33" s="36">
        <v>5700</v>
      </c>
    </row>
    <row r="34" spans="2:103" ht="15" customHeight="1" x14ac:dyDescent="0.2">
      <c r="B34" s="5"/>
      <c r="C34" s="5"/>
      <c r="D34" s="5"/>
      <c r="E34" s="5"/>
      <c r="F34" s="480">
        <v>2000</v>
      </c>
      <c r="G34" s="481"/>
      <c r="H34" s="92">
        <v>650.00099999999998</v>
      </c>
      <c r="I34" s="98">
        <v>665</v>
      </c>
      <c r="J34" s="5"/>
      <c r="K34" s="480">
        <v>2000</v>
      </c>
      <c r="L34" s="481"/>
      <c r="M34" s="92">
        <v>1280.001</v>
      </c>
      <c r="N34" s="98">
        <v>1385</v>
      </c>
      <c r="O34" s="5"/>
      <c r="P34" s="462">
        <v>2</v>
      </c>
      <c r="Q34" s="451"/>
      <c r="R34" s="462">
        <v>0.1158</v>
      </c>
      <c r="S34" s="451"/>
      <c r="T34" s="5"/>
      <c r="U34" s="16">
        <v>36</v>
      </c>
      <c r="V34" s="9">
        <v>0.82</v>
      </c>
      <c r="W34" s="10">
        <v>0.88</v>
      </c>
      <c r="X34" s="9">
        <v>0.91</v>
      </c>
      <c r="Y34" s="16">
        <v>96.8</v>
      </c>
      <c r="Z34" s="5"/>
      <c r="AA34" s="16">
        <v>700</v>
      </c>
      <c r="AB34" s="16">
        <v>600.00099999999998</v>
      </c>
      <c r="AC34" s="91">
        <v>700</v>
      </c>
      <c r="AD34" s="5"/>
      <c r="AE34" s="5"/>
      <c r="AF34" s="5"/>
      <c r="AI34" s="206"/>
      <c r="AJ34" s="206"/>
      <c r="AK34" s="206"/>
      <c r="AL34" s="206"/>
      <c r="AM34" s="206"/>
      <c r="AN34" s="206"/>
      <c r="AO34" s="206"/>
      <c r="AP34" s="206"/>
      <c r="AQ34" s="206"/>
      <c r="AR34" s="206"/>
      <c r="AS34" s="206"/>
      <c r="AT34" s="206"/>
      <c r="AU34" s="5"/>
      <c r="AV34" s="292"/>
      <c r="AW34" s="292"/>
      <c r="AX34" s="292"/>
      <c r="AY34" s="292"/>
      <c r="AZ34" s="292"/>
      <c r="BA34" s="292"/>
      <c r="BB34" s="292"/>
      <c r="BC34" s="292"/>
      <c r="BD34" s="292"/>
      <c r="BE34" s="292"/>
      <c r="BL34" s="245" t="s">
        <v>587</v>
      </c>
      <c r="BM34" s="30"/>
      <c r="BN34" s="30"/>
      <c r="BO34" s="30"/>
      <c r="BP34" s="30"/>
      <c r="BQ34" s="30"/>
      <c r="BR34" s="35" t="s">
        <v>209</v>
      </c>
      <c r="BS34" s="36" t="s">
        <v>205</v>
      </c>
      <c r="BT34" s="36">
        <v>6000</v>
      </c>
      <c r="BU34" s="30"/>
      <c r="BV34" s="35" t="s">
        <v>209</v>
      </c>
      <c r="BW34" s="36" t="s">
        <v>205</v>
      </c>
      <c r="BX34" s="36">
        <v>6000</v>
      </c>
      <c r="BZ34" s="35" t="s">
        <v>209</v>
      </c>
      <c r="CA34" s="36" t="s">
        <v>205</v>
      </c>
      <c r="CB34" s="36">
        <v>6000</v>
      </c>
      <c r="CY34" s="5"/>
    </row>
    <row r="35" spans="2:103" ht="15" customHeight="1" x14ac:dyDescent="0.2">
      <c r="B35" s="5"/>
      <c r="C35" s="5"/>
      <c r="D35" s="5"/>
      <c r="E35" s="5"/>
      <c r="J35" s="5"/>
      <c r="K35" s="5"/>
      <c r="L35" s="5"/>
      <c r="M35" s="5"/>
      <c r="N35" s="5"/>
      <c r="O35" s="5"/>
      <c r="P35" s="462">
        <v>1</v>
      </c>
      <c r="Q35" s="451"/>
      <c r="R35" s="462">
        <v>0.15620000000000001</v>
      </c>
      <c r="S35" s="451"/>
      <c r="T35" s="5"/>
      <c r="U35" s="16">
        <v>37</v>
      </c>
      <c r="V35" s="9">
        <v>0.82</v>
      </c>
      <c r="W35" s="10">
        <v>0.88</v>
      </c>
      <c r="X35" s="9">
        <v>0.91</v>
      </c>
      <c r="Y35" s="16">
        <v>98.600000000000009</v>
      </c>
      <c r="Z35" s="5"/>
      <c r="AA35" s="16">
        <v>800</v>
      </c>
      <c r="AB35" s="16">
        <v>700.00099999999998</v>
      </c>
      <c r="AC35" s="91">
        <v>800</v>
      </c>
      <c r="AD35" s="5"/>
      <c r="AE35" s="5"/>
      <c r="AF35" s="5"/>
      <c r="AV35" s="292"/>
      <c r="AW35" s="292"/>
      <c r="AX35" s="292"/>
      <c r="AY35" s="292"/>
      <c r="AZ35" s="292"/>
      <c r="BA35" s="292"/>
      <c r="BB35" s="292"/>
      <c r="BC35" s="292"/>
      <c r="BD35" s="292"/>
      <c r="BE35" s="292"/>
      <c r="BL35" s="245" t="s">
        <v>589</v>
      </c>
      <c r="BM35" s="30"/>
      <c r="BN35" s="30"/>
      <c r="BO35" s="30"/>
      <c r="BP35" s="30"/>
      <c r="BQ35" s="30"/>
      <c r="BR35" s="40" t="s">
        <v>211</v>
      </c>
      <c r="BS35" s="36" t="s">
        <v>212</v>
      </c>
      <c r="BT35" s="36">
        <v>6000</v>
      </c>
      <c r="BU35" s="30"/>
      <c r="BV35" s="40" t="s">
        <v>211</v>
      </c>
      <c r="BW35" s="36" t="s">
        <v>212</v>
      </c>
      <c r="BX35" s="36">
        <v>6000</v>
      </c>
      <c r="BZ35" s="40" t="s">
        <v>211</v>
      </c>
      <c r="CA35" s="36" t="s">
        <v>212</v>
      </c>
      <c r="CB35" s="36">
        <v>6000</v>
      </c>
      <c r="CY35" s="5"/>
    </row>
    <row r="36" spans="2:103" ht="15" customHeight="1" x14ac:dyDescent="0.2">
      <c r="B36" s="5"/>
      <c r="C36" s="5"/>
      <c r="D36" s="5"/>
      <c r="E36" s="5"/>
      <c r="J36" s="5"/>
      <c r="K36" s="5"/>
      <c r="L36" s="5"/>
      <c r="M36" s="5"/>
      <c r="N36" s="5"/>
      <c r="O36" s="5"/>
      <c r="P36" s="448" t="s">
        <v>19</v>
      </c>
      <c r="Q36" s="449"/>
      <c r="R36" s="462">
        <v>0.1855</v>
      </c>
      <c r="S36" s="451"/>
      <c r="T36" s="5"/>
      <c r="U36" s="16">
        <v>38</v>
      </c>
      <c r="V36" s="9">
        <v>0.82</v>
      </c>
      <c r="W36" s="10">
        <v>0.88</v>
      </c>
      <c r="X36" s="9">
        <v>0.91</v>
      </c>
      <c r="Y36" s="16">
        <v>100.4</v>
      </c>
      <c r="Z36" s="5"/>
      <c r="AA36" s="16">
        <v>1000</v>
      </c>
      <c r="AB36" s="16">
        <v>800.00099999999998</v>
      </c>
      <c r="AC36" s="91">
        <v>1000</v>
      </c>
      <c r="AD36" s="5"/>
      <c r="AE36" s="5"/>
      <c r="AF36" s="5"/>
      <c r="AV36" s="292"/>
      <c r="AW36" s="292"/>
      <c r="AX36" s="292"/>
      <c r="AY36" s="292"/>
      <c r="AZ36" s="292"/>
      <c r="BA36" s="292"/>
      <c r="BB36" s="292"/>
      <c r="BC36" s="292"/>
      <c r="BD36" s="292"/>
      <c r="BE36" s="292"/>
      <c r="BL36" s="245" t="s">
        <v>587</v>
      </c>
      <c r="BM36" s="30"/>
      <c r="BN36" s="30"/>
      <c r="BO36" s="30"/>
      <c r="BP36" s="30"/>
      <c r="BQ36" s="30"/>
      <c r="BR36" s="30"/>
      <c r="BS36" s="29" t="s">
        <v>213</v>
      </c>
      <c r="BT36" s="29">
        <v>6000</v>
      </c>
      <c r="BU36" s="30"/>
      <c r="BV36" s="30"/>
      <c r="BW36" s="29" t="s">
        <v>213</v>
      </c>
      <c r="BX36" s="29">
        <v>6000</v>
      </c>
      <c r="BZ36" s="30"/>
      <c r="CA36" s="29" t="s">
        <v>213</v>
      </c>
      <c r="CB36" s="29">
        <v>6000</v>
      </c>
      <c r="CY36" s="5"/>
    </row>
    <row r="37" spans="2:103" ht="15" customHeight="1" x14ac:dyDescent="0.2">
      <c r="B37" s="5"/>
      <c r="C37" s="5"/>
      <c r="D37" s="5"/>
      <c r="E37" s="5"/>
      <c r="J37" s="5"/>
      <c r="K37" s="5"/>
      <c r="L37" s="5"/>
      <c r="M37" s="5"/>
      <c r="N37" s="5"/>
      <c r="O37" s="5"/>
      <c r="P37" s="448" t="s">
        <v>29</v>
      </c>
      <c r="Q37" s="479"/>
      <c r="R37" s="462">
        <v>0.2223</v>
      </c>
      <c r="S37" s="451"/>
      <c r="T37" s="5"/>
      <c r="U37" s="16">
        <v>39</v>
      </c>
      <c r="V37" s="9">
        <v>0.82</v>
      </c>
      <c r="W37" s="10">
        <v>0.88</v>
      </c>
      <c r="X37" s="9">
        <v>0.91</v>
      </c>
      <c r="Y37" s="16">
        <v>102.2</v>
      </c>
      <c r="Z37" s="5"/>
      <c r="AA37" s="16">
        <v>1200</v>
      </c>
      <c r="AB37" s="16">
        <v>1000.001</v>
      </c>
      <c r="AC37" s="91">
        <v>1200</v>
      </c>
      <c r="AD37" s="5"/>
      <c r="AE37" s="5"/>
      <c r="AF37" s="5"/>
      <c r="AV37" s="292"/>
      <c r="AW37" s="292"/>
      <c r="AX37" s="292"/>
      <c r="AY37" s="292"/>
      <c r="AZ37" s="292"/>
      <c r="BA37" s="292"/>
      <c r="BB37" s="292"/>
      <c r="BC37" s="292"/>
      <c r="BD37" s="292"/>
      <c r="BE37" s="292"/>
      <c r="BL37" s="243"/>
      <c r="BM37" s="30"/>
      <c r="BN37" s="30"/>
      <c r="BO37" s="30"/>
      <c r="BP37" s="30"/>
      <c r="BQ37" s="30"/>
      <c r="BR37" s="30"/>
      <c r="BS37" s="30"/>
      <c r="BT37" s="30"/>
      <c r="BU37" s="30"/>
      <c r="CY37" s="5"/>
    </row>
    <row r="38" spans="2:103" ht="15" customHeight="1" x14ac:dyDescent="0.2">
      <c r="B38" s="5"/>
      <c r="C38" s="5"/>
      <c r="D38" s="5"/>
      <c r="E38" s="5"/>
      <c r="J38" s="5"/>
      <c r="K38" s="5"/>
      <c r="L38" s="5"/>
      <c r="M38" s="5"/>
      <c r="N38" s="5"/>
      <c r="O38" s="5"/>
      <c r="P38" s="448" t="s">
        <v>28</v>
      </c>
      <c r="Q38" s="479"/>
      <c r="R38" s="462">
        <v>0.26790000000000003</v>
      </c>
      <c r="S38" s="451"/>
      <c r="T38" s="5"/>
      <c r="U38" s="16">
        <v>40</v>
      </c>
      <c r="V38" s="9">
        <v>0.82</v>
      </c>
      <c r="W38" s="10">
        <v>0.88</v>
      </c>
      <c r="X38" s="9">
        <v>0.91</v>
      </c>
      <c r="Y38" s="16">
        <v>104</v>
      </c>
      <c r="Z38" s="5"/>
      <c r="AA38" s="16">
        <v>1600</v>
      </c>
      <c r="AB38" s="16">
        <v>1200.001</v>
      </c>
      <c r="AC38" s="91">
        <v>1600</v>
      </c>
      <c r="AD38" s="5"/>
      <c r="AE38" s="5"/>
      <c r="AF38" s="5"/>
      <c r="AV38" s="292"/>
      <c r="AW38" s="292"/>
      <c r="AX38" s="292"/>
      <c r="AY38" s="292"/>
      <c r="AZ38" s="292"/>
      <c r="BA38" s="292"/>
      <c r="BB38" s="292"/>
      <c r="BC38" s="292"/>
      <c r="BD38" s="292"/>
      <c r="BE38" s="292"/>
      <c r="BL38" s="243"/>
      <c r="BM38" s="30"/>
      <c r="BN38" s="30"/>
      <c r="BO38" s="30"/>
      <c r="BP38" s="30"/>
      <c r="BQ38" s="30"/>
      <c r="BT38" s="30"/>
      <c r="BU38" s="30"/>
    </row>
    <row r="39" spans="2:103" ht="15" customHeight="1" x14ac:dyDescent="0.2">
      <c r="B39" s="5"/>
      <c r="C39" s="5"/>
      <c r="D39" s="5"/>
      <c r="E39" s="5"/>
      <c r="J39" s="5"/>
      <c r="K39" s="5"/>
      <c r="L39" s="5"/>
      <c r="M39" s="5"/>
      <c r="N39" s="5"/>
      <c r="O39" s="5"/>
      <c r="P39" s="448" t="s">
        <v>27</v>
      </c>
      <c r="Q39" s="479"/>
      <c r="R39" s="462">
        <v>0.32369999999999999</v>
      </c>
      <c r="S39" s="451"/>
      <c r="T39" s="5"/>
      <c r="U39" s="16">
        <v>41</v>
      </c>
      <c r="V39" s="9">
        <v>0.71</v>
      </c>
      <c r="W39" s="10">
        <v>0.82</v>
      </c>
      <c r="X39" s="9">
        <v>0.87</v>
      </c>
      <c r="Y39" s="16">
        <v>105.8</v>
      </c>
      <c r="Z39" s="5"/>
      <c r="AA39" s="16">
        <v>2000</v>
      </c>
      <c r="AB39" s="16">
        <v>1600.001</v>
      </c>
      <c r="AC39" s="91">
        <v>2000</v>
      </c>
      <c r="AD39" s="5"/>
      <c r="AE39" s="5"/>
      <c r="AF39" s="5"/>
      <c r="AV39" s="292"/>
      <c r="AW39" s="292"/>
      <c r="AX39" s="292"/>
      <c r="AY39" s="292"/>
      <c r="AZ39" s="292"/>
      <c r="BA39" s="292"/>
      <c r="BB39" s="292"/>
      <c r="BC39" s="292"/>
      <c r="BD39" s="292"/>
      <c r="BE39" s="292"/>
      <c r="BL39" s="243"/>
      <c r="BM39" s="30"/>
      <c r="BN39" s="30"/>
      <c r="BO39" s="30"/>
      <c r="BP39" s="30"/>
      <c r="BQ39" s="30"/>
      <c r="BT39" s="30"/>
      <c r="BU39" s="30"/>
    </row>
    <row r="40" spans="2:103" ht="15" customHeight="1" x14ac:dyDescent="0.2">
      <c r="B40" s="5"/>
      <c r="C40" s="5"/>
      <c r="D40" s="5"/>
      <c r="E40" s="5"/>
      <c r="J40" s="5"/>
      <c r="K40" s="5"/>
      <c r="L40" s="5"/>
      <c r="M40" s="5"/>
      <c r="N40" s="5"/>
      <c r="O40" s="5"/>
      <c r="P40" s="448" t="s">
        <v>30</v>
      </c>
      <c r="Q40" s="479"/>
      <c r="R40" s="462">
        <v>0.39700000000000002</v>
      </c>
      <c r="S40" s="451"/>
      <c r="T40" s="5"/>
      <c r="U40" s="16">
        <v>42</v>
      </c>
      <c r="V40" s="9">
        <v>0.71</v>
      </c>
      <c r="W40" s="10">
        <v>0.82</v>
      </c>
      <c r="X40" s="9">
        <v>0.87</v>
      </c>
      <c r="Y40" s="16">
        <v>107.60000000000001</v>
      </c>
      <c r="Z40" s="5"/>
      <c r="AA40" s="16">
        <v>2500</v>
      </c>
      <c r="AB40" s="16">
        <v>2000.001</v>
      </c>
      <c r="AC40" s="91">
        <v>2500</v>
      </c>
      <c r="AD40" s="5"/>
      <c r="AE40" s="5"/>
      <c r="AF40" s="5"/>
      <c r="AV40" s="292"/>
      <c r="AW40" s="292"/>
      <c r="AX40" s="292"/>
      <c r="AY40" s="292"/>
      <c r="AZ40" s="292"/>
      <c r="BA40" s="292"/>
      <c r="BB40" s="292"/>
      <c r="BC40" s="292"/>
      <c r="BD40" s="292"/>
      <c r="BE40" s="292"/>
      <c r="BL40" s="243"/>
      <c r="BM40" s="30"/>
      <c r="BN40" s="30"/>
      <c r="BO40" s="30"/>
      <c r="BP40" s="30"/>
      <c r="BQ40" s="30"/>
      <c r="BT40" s="30"/>
      <c r="BU40" s="30"/>
    </row>
    <row r="41" spans="2:103" ht="15" customHeight="1" x14ac:dyDescent="0.2">
      <c r="B41" s="5"/>
      <c r="C41" s="5"/>
      <c r="D41" s="5"/>
      <c r="E41" s="5"/>
      <c r="J41" s="5"/>
      <c r="K41" s="5"/>
      <c r="L41" s="5"/>
      <c r="M41" s="5"/>
      <c r="N41" s="5"/>
      <c r="O41" s="5"/>
      <c r="P41" s="448" t="s">
        <v>31</v>
      </c>
      <c r="Q41" s="479"/>
      <c r="R41" s="462">
        <v>0.46079999999999999</v>
      </c>
      <c r="S41" s="451"/>
      <c r="T41" s="5"/>
      <c r="U41" s="16">
        <v>43</v>
      </c>
      <c r="V41" s="9">
        <v>0.71</v>
      </c>
      <c r="W41" s="10">
        <v>0.82</v>
      </c>
      <c r="X41" s="9">
        <v>0.87</v>
      </c>
      <c r="Y41" s="16">
        <v>109.4</v>
      </c>
      <c r="Z41" s="5"/>
      <c r="AA41" s="16">
        <v>3000</v>
      </c>
      <c r="AB41" s="16">
        <v>2500.0010000000002</v>
      </c>
      <c r="AC41" s="91">
        <v>3000</v>
      </c>
      <c r="AD41" s="5"/>
      <c r="AE41" s="5"/>
      <c r="AF41" s="5"/>
      <c r="AV41" s="292"/>
      <c r="AW41" s="292"/>
      <c r="AX41" s="292"/>
      <c r="AY41" s="292"/>
      <c r="AZ41" s="292"/>
      <c r="BA41" s="292"/>
      <c r="BB41" s="292"/>
      <c r="BC41" s="292"/>
      <c r="BD41" s="292"/>
      <c r="BE41" s="292"/>
      <c r="BL41" s="243"/>
      <c r="BM41" s="30"/>
      <c r="BN41" s="30"/>
      <c r="BO41" s="30"/>
      <c r="BP41" s="30"/>
      <c r="BQ41" s="30"/>
      <c r="BT41" s="30"/>
      <c r="BU41" s="30"/>
    </row>
    <row r="42" spans="2:103" ht="15" customHeight="1" x14ac:dyDescent="0.2">
      <c r="B42" s="5"/>
      <c r="C42" s="5"/>
      <c r="D42" s="5"/>
      <c r="E42" s="5"/>
      <c r="J42" s="5"/>
      <c r="K42" s="5"/>
      <c r="L42" s="5"/>
      <c r="M42" s="5"/>
      <c r="N42" s="5"/>
      <c r="O42" s="5"/>
      <c r="P42" s="448" t="s">
        <v>32</v>
      </c>
      <c r="Q42" s="479"/>
      <c r="R42" s="462">
        <v>0.5242</v>
      </c>
      <c r="S42" s="451"/>
      <c r="T42" s="5"/>
      <c r="U42" s="16">
        <v>44</v>
      </c>
      <c r="V42" s="9">
        <v>0.71</v>
      </c>
      <c r="W42" s="10">
        <v>0.82</v>
      </c>
      <c r="X42" s="9">
        <v>0.87</v>
      </c>
      <c r="Y42" s="16">
        <v>111.2</v>
      </c>
      <c r="Z42" s="5"/>
      <c r="AA42" s="16">
        <v>4000</v>
      </c>
      <c r="AB42" s="16">
        <v>3000.0010000000002</v>
      </c>
      <c r="AC42" s="91">
        <v>4000</v>
      </c>
      <c r="AD42" s="5"/>
      <c r="AE42" s="5"/>
      <c r="AF42" s="5"/>
      <c r="AV42" s="292"/>
      <c r="AW42" s="292"/>
      <c r="AX42" s="292"/>
      <c r="AY42" s="292"/>
      <c r="AZ42" s="292"/>
      <c r="BA42" s="292"/>
      <c r="BB42" s="292"/>
      <c r="BC42" s="292"/>
      <c r="BD42" s="292"/>
      <c r="BE42" s="292"/>
      <c r="BL42" s="243"/>
      <c r="BM42" s="30"/>
      <c r="BN42" s="30"/>
      <c r="BO42" s="30"/>
      <c r="BP42" s="30"/>
      <c r="BQ42" s="30"/>
      <c r="BT42" s="30"/>
      <c r="BU42" s="30"/>
    </row>
    <row r="43" spans="2:103" ht="15" customHeight="1" x14ac:dyDescent="0.2">
      <c r="B43" s="5"/>
      <c r="C43" s="5"/>
      <c r="D43" s="5"/>
      <c r="E43" s="5"/>
      <c r="J43" s="5"/>
      <c r="K43" s="5"/>
      <c r="L43" s="5"/>
      <c r="M43" s="5"/>
      <c r="N43" s="5"/>
      <c r="O43" s="5"/>
      <c r="P43" s="448" t="s">
        <v>33</v>
      </c>
      <c r="Q43" s="479"/>
      <c r="R43" s="462">
        <v>0.58630000000000004</v>
      </c>
      <c r="S43" s="451"/>
      <c r="T43" s="5"/>
      <c r="U43" s="16">
        <v>45</v>
      </c>
      <c r="V43" s="9">
        <v>0.71</v>
      </c>
      <c r="W43" s="10">
        <v>0.82</v>
      </c>
      <c r="X43" s="9">
        <v>0.87</v>
      </c>
      <c r="Y43" s="16">
        <v>113</v>
      </c>
      <c r="Z43" s="5"/>
      <c r="AA43" s="16">
        <v>5000</v>
      </c>
      <c r="AB43" s="16">
        <v>4000.0010000000002</v>
      </c>
      <c r="AC43" s="91">
        <v>5000</v>
      </c>
      <c r="AD43" s="5"/>
      <c r="AE43" s="5"/>
      <c r="AF43" s="5"/>
      <c r="AV43" s="292"/>
      <c r="AW43" s="292"/>
      <c r="AX43" s="292"/>
      <c r="AY43" s="292"/>
      <c r="AZ43" s="292"/>
      <c r="BA43" s="292"/>
      <c r="BB43" s="292"/>
      <c r="BC43" s="292"/>
      <c r="BD43" s="292"/>
      <c r="BE43" s="292"/>
      <c r="BL43" s="243"/>
      <c r="BM43" s="30"/>
      <c r="BN43" s="30"/>
      <c r="BO43" s="30"/>
      <c r="BP43" s="30"/>
      <c r="BQ43" s="30"/>
      <c r="BT43" s="30"/>
      <c r="BU43" s="30"/>
    </row>
    <row r="44" spans="2:103" ht="15" customHeight="1" x14ac:dyDescent="0.2">
      <c r="B44" s="5"/>
      <c r="C44" s="5"/>
      <c r="D44" s="5"/>
      <c r="E44" s="5"/>
      <c r="J44" s="5"/>
      <c r="K44" s="5"/>
      <c r="L44" s="5"/>
      <c r="M44" s="5"/>
      <c r="N44" s="5"/>
      <c r="O44" s="5"/>
      <c r="P44" s="448" t="s">
        <v>34</v>
      </c>
      <c r="Q44" s="479"/>
      <c r="R44" s="462">
        <v>0.70730000000000004</v>
      </c>
      <c r="S44" s="451"/>
      <c r="T44" s="5"/>
      <c r="U44" s="16">
        <v>46</v>
      </c>
      <c r="V44" s="9">
        <v>0.57999999999999996</v>
      </c>
      <c r="W44" s="10">
        <v>0.75</v>
      </c>
      <c r="X44" s="9">
        <v>0.82</v>
      </c>
      <c r="Y44" s="16">
        <v>114.8</v>
      </c>
      <c r="Z44" s="5"/>
      <c r="AA44" s="92">
        <v>6000</v>
      </c>
      <c r="AB44" s="92">
        <v>5000.0010000000002</v>
      </c>
      <c r="AC44" s="98">
        <v>6000</v>
      </c>
      <c r="AD44" s="5"/>
      <c r="AE44" s="5"/>
      <c r="AF44" s="5"/>
      <c r="AV44" s="292"/>
      <c r="AW44" s="292"/>
      <c r="AX44" s="292"/>
      <c r="AY44" s="292"/>
      <c r="AZ44" s="292"/>
      <c r="BA44" s="292"/>
      <c r="BB44" s="292"/>
      <c r="BC44" s="292"/>
      <c r="BD44" s="292"/>
      <c r="BE44" s="292"/>
      <c r="BL44" s="243"/>
      <c r="BM44" s="30"/>
      <c r="BN44" s="30"/>
      <c r="BO44" s="30"/>
      <c r="BP44" s="30"/>
      <c r="BQ44" s="30"/>
      <c r="BT44" s="30"/>
      <c r="BU44" s="30"/>
      <c r="CY44" s="5"/>
    </row>
    <row r="45" spans="2:103" ht="15" customHeight="1" x14ac:dyDescent="0.2">
      <c r="B45" s="5"/>
      <c r="C45" s="5"/>
      <c r="D45" s="5"/>
      <c r="E45" s="5"/>
      <c r="J45" s="5"/>
      <c r="K45" s="5"/>
      <c r="L45" s="5"/>
      <c r="M45" s="5"/>
      <c r="N45" s="5"/>
      <c r="O45" s="5"/>
      <c r="P45" s="448" t="s">
        <v>35</v>
      </c>
      <c r="Q45" s="479"/>
      <c r="R45" s="462">
        <v>0.86760000000000004</v>
      </c>
      <c r="S45" s="451"/>
      <c r="T45" s="5"/>
      <c r="U45" s="16">
        <v>47</v>
      </c>
      <c r="V45" s="9">
        <v>0.57999999999999996</v>
      </c>
      <c r="W45" s="10">
        <v>0.75</v>
      </c>
      <c r="X45" s="9">
        <v>0.82</v>
      </c>
      <c r="Y45" s="16">
        <v>116.60000000000001</v>
      </c>
      <c r="Z45" s="5"/>
      <c r="AA45" s="5"/>
      <c r="AB45" s="5"/>
      <c r="AC45" s="5"/>
      <c r="AD45" s="5"/>
      <c r="AE45" s="5"/>
      <c r="AF45" s="5"/>
      <c r="AV45" s="292"/>
      <c r="AW45" s="292"/>
      <c r="AX45" s="292"/>
      <c r="AY45" s="292"/>
      <c r="AZ45" s="292"/>
      <c r="BA45" s="292"/>
      <c r="BB45" s="292"/>
      <c r="BC45" s="292"/>
      <c r="BD45" s="292"/>
      <c r="BE45" s="292"/>
      <c r="BL45" s="243"/>
      <c r="BM45" s="30"/>
      <c r="BN45" s="30"/>
      <c r="BO45" s="30"/>
      <c r="BP45" s="30"/>
      <c r="BQ45" s="30"/>
      <c r="BT45" s="30"/>
      <c r="BU45" s="30"/>
      <c r="CY45" s="5"/>
    </row>
    <row r="46" spans="2:103" ht="15" customHeight="1" x14ac:dyDescent="0.2">
      <c r="B46" s="5"/>
      <c r="C46" s="5"/>
      <c r="D46" s="5"/>
      <c r="E46" s="5"/>
      <c r="J46" s="5"/>
      <c r="K46" s="5"/>
      <c r="L46" s="5"/>
      <c r="M46" s="5"/>
      <c r="N46" s="5"/>
      <c r="O46" s="5"/>
      <c r="P46" s="448" t="s">
        <v>36</v>
      </c>
      <c r="Q46" s="479"/>
      <c r="R46" s="462">
        <v>0.98870000000000002</v>
      </c>
      <c r="S46" s="451"/>
      <c r="T46" s="5"/>
      <c r="U46" s="16">
        <v>48</v>
      </c>
      <c r="V46" s="9">
        <v>0.57999999999999996</v>
      </c>
      <c r="W46" s="10">
        <v>0.75</v>
      </c>
      <c r="X46" s="9">
        <v>0.82</v>
      </c>
      <c r="Y46" s="16">
        <v>118.4</v>
      </c>
      <c r="Z46" s="5"/>
      <c r="AA46" s="5"/>
      <c r="AB46" s="5"/>
      <c r="AC46" s="5"/>
      <c r="AD46" s="5"/>
      <c r="AE46" s="5"/>
      <c r="AF46" s="5"/>
      <c r="AV46" s="292"/>
      <c r="AW46" s="292"/>
      <c r="AX46" s="292"/>
      <c r="AY46" s="292"/>
      <c r="AZ46" s="292"/>
      <c r="BA46" s="292"/>
      <c r="BB46" s="292"/>
      <c r="BC46" s="292"/>
      <c r="BD46" s="292"/>
      <c r="BE46" s="292"/>
      <c r="BL46" s="243"/>
      <c r="BM46" s="30"/>
      <c r="BN46" s="30"/>
      <c r="BO46" s="30"/>
      <c r="BP46" s="30"/>
      <c r="BQ46" s="30"/>
      <c r="BT46" s="30"/>
      <c r="BU46" s="30"/>
      <c r="CY46" s="5"/>
    </row>
    <row r="47" spans="2:103" ht="15" customHeight="1" x14ac:dyDescent="0.2">
      <c r="B47" s="5"/>
      <c r="C47" s="5"/>
      <c r="D47" s="5"/>
      <c r="E47" s="5"/>
      <c r="J47" s="5"/>
      <c r="K47" s="5"/>
      <c r="L47" s="5"/>
      <c r="M47" s="5"/>
      <c r="N47" s="5"/>
      <c r="O47" s="5"/>
      <c r="P47" s="448" t="s">
        <v>37</v>
      </c>
      <c r="Q47" s="479"/>
      <c r="R47" s="462">
        <v>1.0496000000000001</v>
      </c>
      <c r="S47" s="451"/>
      <c r="T47" s="5"/>
      <c r="U47" s="16">
        <v>49</v>
      </c>
      <c r="V47" s="9">
        <v>0.57999999999999996</v>
      </c>
      <c r="W47" s="10">
        <v>0.75</v>
      </c>
      <c r="X47" s="9">
        <v>0.82</v>
      </c>
      <c r="Y47" s="16">
        <v>120.2</v>
      </c>
      <c r="Z47" s="5"/>
      <c r="AA47" s="5"/>
      <c r="AB47" s="5"/>
      <c r="AC47" s="5"/>
      <c r="AD47" s="5"/>
      <c r="AE47" s="5"/>
      <c r="AF47" s="5"/>
      <c r="AV47" s="292"/>
      <c r="AW47" s="292"/>
      <c r="AX47" s="292"/>
      <c r="AY47" s="292"/>
      <c r="AZ47" s="292"/>
      <c r="BA47" s="292"/>
      <c r="BB47" s="292"/>
      <c r="BC47" s="292"/>
      <c r="BD47" s="292"/>
      <c r="BE47" s="292"/>
      <c r="BL47" s="243"/>
      <c r="BM47" s="30"/>
      <c r="BN47" s="30"/>
      <c r="BO47" s="30"/>
      <c r="BP47" s="30"/>
      <c r="BQ47" s="30"/>
      <c r="BT47" s="30"/>
      <c r="BU47" s="30"/>
      <c r="CY47" s="5"/>
    </row>
    <row r="48" spans="2:103" ht="15" customHeight="1" x14ac:dyDescent="0.2">
      <c r="B48" s="5"/>
      <c r="C48" s="5"/>
      <c r="D48" s="5"/>
      <c r="E48" s="5"/>
      <c r="J48" s="5"/>
      <c r="K48" s="5"/>
      <c r="L48" s="5"/>
      <c r="M48" s="5"/>
      <c r="N48" s="5"/>
      <c r="O48" s="5"/>
      <c r="P48" s="448" t="s">
        <v>38</v>
      </c>
      <c r="Q48" s="479"/>
      <c r="R48" s="462">
        <v>1.1085</v>
      </c>
      <c r="S48" s="451"/>
      <c r="T48" s="5"/>
      <c r="U48" s="16">
        <v>50</v>
      </c>
      <c r="V48" s="9">
        <v>0.57999999999999996</v>
      </c>
      <c r="W48" s="10">
        <v>0.75</v>
      </c>
      <c r="X48" s="9">
        <v>0.82</v>
      </c>
      <c r="Y48" s="16">
        <v>122</v>
      </c>
      <c r="Z48" s="5"/>
      <c r="AA48" s="5"/>
      <c r="AB48" s="5"/>
      <c r="AC48" s="5"/>
      <c r="AD48" s="5"/>
      <c r="AE48" s="5"/>
      <c r="AF48" s="5"/>
      <c r="AV48" s="292"/>
      <c r="AW48" s="292"/>
      <c r="AX48" s="292"/>
      <c r="AY48" s="292"/>
      <c r="AZ48" s="292"/>
      <c r="BA48" s="292"/>
      <c r="BB48" s="292"/>
      <c r="BC48" s="292"/>
      <c r="BD48" s="292"/>
      <c r="BE48" s="292"/>
      <c r="BL48" s="243"/>
      <c r="BM48" s="30"/>
      <c r="BN48" s="30"/>
      <c r="BO48" s="30"/>
      <c r="BP48" s="30"/>
      <c r="BQ48" s="30"/>
      <c r="BR48" s="30"/>
      <c r="BS48" s="30"/>
      <c r="BT48" s="30"/>
      <c r="BU48" s="30"/>
      <c r="CY48" s="5"/>
    </row>
    <row r="49" spans="2:104" ht="15" customHeight="1" x14ac:dyDescent="0.2">
      <c r="B49" s="5"/>
      <c r="C49" s="5"/>
      <c r="D49" s="5"/>
      <c r="E49" s="5"/>
      <c r="J49" s="5"/>
      <c r="K49" s="5"/>
      <c r="L49" s="5"/>
      <c r="M49" s="5"/>
      <c r="N49" s="5"/>
      <c r="O49" s="5"/>
      <c r="P49" s="448" t="s">
        <v>39</v>
      </c>
      <c r="Q49" s="479"/>
      <c r="R49" s="462">
        <v>1.2311000000000001</v>
      </c>
      <c r="S49" s="451"/>
      <c r="T49" s="5"/>
      <c r="U49" s="16">
        <v>51</v>
      </c>
      <c r="V49" s="9">
        <v>0.41</v>
      </c>
      <c r="W49" s="10">
        <v>0.67</v>
      </c>
      <c r="X49" s="9">
        <v>0.76</v>
      </c>
      <c r="Y49" s="16">
        <v>123.8</v>
      </c>
      <c r="Z49" s="5"/>
      <c r="AA49" s="585" t="s">
        <v>277</v>
      </c>
      <c r="AB49" s="585"/>
      <c r="AC49" s="585"/>
      <c r="AD49" s="5"/>
      <c r="AE49" s="5"/>
      <c r="AF49" s="5"/>
      <c r="AV49" s="292"/>
      <c r="AW49" s="292"/>
      <c r="AX49" s="292"/>
      <c r="AY49" s="292"/>
      <c r="AZ49" s="292"/>
      <c r="BA49" s="292"/>
      <c r="BB49" s="292"/>
      <c r="BC49" s="292"/>
      <c r="BD49" s="292"/>
      <c r="BE49" s="292"/>
      <c r="BL49" s="243"/>
      <c r="BM49" s="30"/>
      <c r="BN49" s="30"/>
      <c r="BO49" s="30"/>
      <c r="BP49" s="30"/>
      <c r="BQ49" s="30"/>
      <c r="BR49" s="30"/>
      <c r="BS49" s="30"/>
      <c r="BT49" s="30"/>
      <c r="BU49" s="30"/>
    </row>
    <row r="50" spans="2:104" ht="15" customHeight="1" x14ac:dyDescent="0.2">
      <c r="B50" s="5"/>
      <c r="C50" s="5"/>
      <c r="D50" s="5"/>
      <c r="E50" s="5"/>
      <c r="J50" s="5"/>
      <c r="K50" s="5"/>
      <c r="L50" s="5"/>
      <c r="M50" s="5"/>
      <c r="N50" s="5"/>
      <c r="O50" s="5"/>
      <c r="P50" s="484" t="s">
        <v>40</v>
      </c>
      <c r="Q50" s="485"/>
      <c r="R50" s="480">
        <v>1.3478000000000001</v>
      </c>
      <c r="S50" s="481"/>
      <c r="T50" s="5"/>
      <c r="U50" s="16">
        <v>52</v>
      </c>
      <c r="V50" s="9">
        <v>0.41</v>
      </c>
      <c r="W50" s="10">
        <v>0.67</v>
      </c>
      <c r="X50" s="9">
        <v>0.76</v>
      </c>
      <c r="Y50" s="16">
        <v>125.60000000000001</v>
      </c>
      <c r="Z50" s="5"/>
      <c r="AA50" s="585"/>
      <c r="AB50" s="585"/>
      <c r="AC50" s="585"/>
      <c r="AD50" s="5"/>
      <c r="AE50" s="5"/>
      <c r="AF50" s="5"/>
      <c r="AV50" s="292"/>
      <c r="AW50" s="292"/>
      <c r="AX50" s="292"/>
      <c r="AY50" s="292"/>
      <c r="AZ50" s="292"/>
      <c r="BA50" s="292"/>
      <c r="BB50" s="292"/>
      <c r="BC50" s="292"/>
      <c r="BD50" s="292"/>
      <c r="BE50" s="292"/>
      <c r="BL50" s="243"/>
      <c r="BM50" s="30"/>
      <c r="BN50" s="30"/>
      <c r="BO50" s="30"/>
      <c r="BP50" s="30"/>
      <c r="BQ50" s="30"/>
      <c r="BR50" s="30"/>
      <c r="BS50" s="30"/>
      <c r="BT50" s="30"/>
      <c r="BU50" s="30"/>
    </row>
    <row r="51" spans="2:104" ht="15" customHeight="1" x14ac:dyDescent="0.2">
      <c r="B51" s="5"/>
      <c r="C51" s="5"/>
      <c r="D51" s="5"/>
      <c r="E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16">
        <v>53</v>
      </c>
      <c r="V51" s="9">
        <v>0.41</v>
      </c>
      <c r="W51" s="10">
        <v>0.67</v>
      </c>
      <c r="X51" s="9">
        <v>0.76</v>
      </c>
      <c r="Y51" s="16">
        <v>127.4</v>
      </c>
      <c r="Z51" s="5"/>
      <c r="AA51" s="13" t="s">
        <v>67</v>
      </c>
      <c r="AB51" s="13" t="s">
        <v>54</v>
      </c>
      <c r="AC51" s="57" t="s">
        <v>90</v>
      </c>
      <c r="AD51" s="5"/>
      <c r="AE51" s="5"/>
      <c r="AF51" s="5"/>
      <c r="AV51" s="292"/>
      <c r="AW51" s="292"/>
      <c r="AX51" s="292"/>
      <c r="AY51" s="292"/>
      <c r="AZ51" s="292"/>
      <c r="BA51" s="292"/>
      <c r="BB51" s="292"/>
      <c r="BC51" s="292"/>
      <c r="BD51" s="292"/>
      <c r="BE51" s="292"/>
      <c r="BL51" s="243"/>
      <c r="BM51" s="30"/>
      <c r="BN51" s="30"/>
      <c r="BO51" s="30"/>
      <c r="BP51" s="30"/>
      <c r="BQ51" s="30"/>
      <c r="BR51" s="30"/>
      <c r="BS51" s="30"/>
      <c r="BT51" s="30"/>
      <c r="BU51" s="30"/>
    </row>
    <row r="52" spans="2:104" ht="15" customHeight="1" x14ac:dyDescent="0.2">
      <c r="B52" s="5"/>
      <c r="C52" s="5"/>
      <c r="D52" s="5"/>
      <c r="E52" s="5"/>
      <c r="J52" s="5"/>
      <c r="K52" s="5"/>
      <c r="L52" s="5"/>
      <c r="M52" s="5"/>
      <c r="N52" s="5"/>
      <c r="O52" s="5"/>
      <c r="P52" s="478" t="s">
        <v>41</v>
      </c>
      <c r="Q52" s="478"/>
      <c r="R52" s="478"/>
      <c r="S52" s="478"/>
      <c r="T52" s="5"/>
      <c r="U52" s="16">
        <v>54</v>
      </c>
      <c r="V52" s="9">
        <v>0.41</v>
      </c>
      <c r="W52" s="10">
        <v>0.67</v>
      </c>
      <c r="X52" s="9">
        <v>0.76</v>
      </c>
      <c r="Y52" s="16">
        <v>129.19999999999999</v>
      </c>
      <c r="Z52" s="5"/>
      <c r="AA52" s="15">
        <v>30</v>
      </c>
      <c r="AB52" s="15">
        <v>1</v>
      </c>
      <c r="AC52" s="99">
        <v>29.998999999999999</v>
      </c>
      <c r="AD52" s="5"/>
      <c r="AE52" s="5"/>
      <c r="AF52" s="5"/>
      <c r="AV52" s="292"/>
      <c r="AW52" s="292"/>
      <c r="AX52" s="292"/>
      <c r="AY52" s="292"/>
      <c r="AZ52" s="292"/>
      <c r="BA52" s="292"/>
      <c r="BB52" s="292"/>
      <c r="BC52" s="292"/>
      <c r="BD52" s="292"/>
      <c r="BE52" s="292"/>
      <c r="BL52" s="243"/>
      <c r="BM52" s="30"/>
      <c r="BN52" s="30"/>
      <c r="BO52" s="30"/>
      <c r="BP52" s="30"/>
      <c r="BQ52" s="30"/>
      <c r="BR52" s="30"/>
      <c r="BS52" s="30"/>
      <c r="BT52" s="30"/>
      <c r="BU52" s="30"/>
    </row>
    <row r="53" spans="2:104" ht="15" customHeight="1" x14ac:dyDescent="0.2">
      <c r="B53" s="5"/>
      <c r="C53" s="5"/>
      <c r="D53" s="5"/>
      <c r="E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16">
        <v>55</v>
      </c>
      <c r="V53" s="9">
        <v>0.41</v>
      </c>
      <c r="W53" s="10">
        <v>0.67</v>
      </c>
      <c r="X53" s="9">
        <v>0.76</v>
      </c>
      <c r="Y53" s="16">
        <v>131</v>
      </c>
      <c r="Z53" s="5"/>
      <c r="AA53" s="16">
        <v>60</v>
      </c>
      <c r="AB53" s="16">
        <f>AC52+0.001</f>
        <v>30</v>
      </c>
      <c r="AC53" s="91">
        <v>59.999000000000002</v>
      </c>
      <c r="AD53" s="5"/>
      <c r="AE53" s="5"/>
      <c r="AF53" s="5"/>
      <c r="BL53" s="243"/>
      <c r="BM53" s="30"/>
      <c r="BN53" s="30"/>
      <c r="BO53" s="30"/>
      <c r="BP53" s="30"/>
      <c r="BQ53" s="30"/>
      <c r="BR53" s="30"/>
      <c r="BS53" s="30"/>
      <c r="BT53" s="30"/>
      <c r="BU53" s="30"/>
      <c r="CZ53" s="5"/>
    </row>
    <row r="54" spans="2:104" ht="15" customHeight="1" x14ac:dyDescent="0.2">
      <c r="B54" s="5"/>
      <c r="C54" s="5"/>
      <c r="D54" s="5"/>
      <c r="E54" s="5"/>
      <c r="J54" s="5"/>
      <c r="K54" s="5"/>
      <c r="L54" s="5"/>
      <c r="M54" s="5"/>
      <c r="N54" s="5"/>
      <c r="O54" s="5"/>
      <c r="P54" s="472" t="s">
        <v>42</v>
      </c>
      <c r="Q54" s="473"/>
      <c r="R54" s="473"/>
      <c r="S54" s="474"/>
      <c r="T54" s="5"/>
      <c r="U54" s="16">
        <v>56</v>
      </c>
      <c r="V54" s="9" t="s">
        <v>51</v>
      </c>
      <c r="W54" s="10">
        <v>0.57999999999999996</v>
      </c>
      <c r="X54" s="9">
        <v>0.71</v>
      </c>
      <c r="Y54" s="16">
        <v>132.80000000000001</v>
      </c>
      <c r="Z54" s="5"/>
      <c r="AA54" s="16">
        <v>100</v>
      </c>
      <c r="AB54" s="16">
        <f t="shared" ref="AB54:AB58" si="22">AC53+0.001</f>
        <v>60</v>
      </c>
      <c r="AC54" s="91">
        <v>99.998999999999995</v>
      </c>
      <c r="AD54" s="5"/>
      <c r="AE54" s="5"/>
      <c r="AF54" s="5"/>
      <c r="BL54" s="243"/>
      <c r="BM54" s="30"/>
      <c r="BN54" s="30"/>
      <c r="BO54" s="30"/>
      <c r="BP54" s="30"/>
      <c r="BQ54" s="30"/>
      <c r="BR54" s="30"/>
      <c r="BS54" s="30"/>
      <c r="BT54" s="30"/>
      <c r="BU54" s="30"/>
      <c r="CZ54" s="5"/>
    </row>
    <row r="55" spans="2:104" ht="15" customHeight="1" x14ac:dyDescent="0.2">
      <c r="B55" s="5"/>
      <c r="C55" s="5"/>
      <c r="D55" s="5"/>
      <c r="E55" s="5"/>
      <c r="J55" s="5"/>
      <c r="K55" s="5"/>
      <c r="L55" s="5"/>
      <c r="M55" s="5"/>
      <c r="N55" s="5"/>
      <c r="O55" s="5"/>
      <c r="P55" s="475"/>
      <c r="Q55" s="476"/>
      <c r="R55" s="476"/>
      <c r="S55" s="477"/>
      <c r="T55" s="5"/>
      <c r="U55" s="16">
        <v>57</v>
      </c>
      <c r="V55" s="9" t="s">
        <v>51</v>
      </c>
      <c r="W55" s="10">
        <v>0.57999999999999996</v>
      </c>
      <c r="X55" s="9">
        <v>0.71</v>
      </c>
      <c r="Y55" s="16">
        <v>134.60000000000002</v>
      </c>
      <c r="Z55" s="5"/>
      <c r="AA55" s="16">
        <v>200</v>
      </c>
      <c r="AB55" s="16">
        <f t="shared" si="22"/>
        <v>100</v>
      </c>
      <c r="AC55" s="91">
        <v>199.999</v>
      </c>
      <c r="AD55" s="5"/>
      <c r="AE55" s="5"/>
      <c r="AF55" s="5"/>
      <c r="BL55" s="243"/>
      <c r="BM55" s="30"/>
      <c r="BN55" s="30"/>
      <c r="BO55" s="30"/>
      <c r="BP55" s="30"/>
      <c r="BQ55" s="30"/>
      <c r="BR55" s="30"/>
      <c r="BS55" s="30"/>
      <c r="BT55" s="30"/>
      <c r="BU55" s="30"/>
      <c r="CZ55" s="5"/>
    </row>
    <row r="56" spans="2:104" ht="15" customHeight="1" x14ac:dyDescent="0.2">
      <c r="B56" s="5"/>
      <c r="C56" s="5"/>
      <c r="D56" s="5"/>
      <c r="E56" s="5"/>
      <c r="J56" s="5"/>
      <c r="K56" s="5"/>
      <c r="L56" s="5"/>
      <c r="M56" s="5"/>
      <c r="N56" s="5"/>
      <c r="O56" s="5"/>
      <c r="P56" s="471" t="s">
        <v>43</v>
      </c>
      <c r="Q56" s="471"/>
      <c r="R56" s="57" t="s">
        <v>25</v>
      </c>
      <c r="S56" s="6">
        <v>0.4</v>
      </c>
      <c r="T56" s="5"/>
      <c r="U56" s="16">
        <v>58</v>
      </c>
      <c r="V56" s="9" t="s">
        <v>51</v>
      </c>
      <c r="W56" s="10">
        <v>0.57999999999999996</v>
      </c>
      <c r="X56" s="9">
        <v>0.71</v>
      </c>
      <c r="Y56" s="16">
        <v>136.4</v>
      </c>
      <c r="Z56" s="5"/>
      <c r="AA56" s="16">
        <v>400</v>
      </c>
      <c r="AB56" s="16">
        <f t="shared" si="22"/>
        <v>200</v>
      </c>
      <c r="AC56" s="91">
        <v>399.99900000000002</v>
      </c>
      <c r="AD56" s="5"/>
      <c r="AE56" s="5"/>
      <c r="AF56" s="5"/>
      <c r="BL56" s="243"/>
      <c r="BM56" s="30"/>
      <c r="BN56" s="30"/>
      <c r="BO56" s="30"/>
      <c r="BP56" s="30"/>
      <c r="BQ56" s="30"/>
      <c r="BR56" s="30"/>
      <c r="BS56" s="30"/>
      <c r="BT56" s="30"/>
      <c r="BU56" s="30"/>
      <c r="CZ56" s="5"/>
    </row>
    <row r="57" spans="2:104" ht="15" customHeight="1" x14ac:dyDescent="0.2">
      <c r="B57" s="5"/>
      <c r="C57" s="5"/>
      <c r="D57" s="5"/>
      <c r="E57" s="5"/>
      <c r="J57" s="5"/>
      <c r="K57" s="5"/>
      <c r="L57" s="5"/>
      <c r="M57" s="5"/>
      <c r="N57" s="5"/>
      <c r="O57" s="5"/>
      <c r="P57" s="510">
        <v>0.75</v>
      </c>
      <c r="Q57" s="511"/>
      <c r="R57" s="15">
        <v>0.30399999999999999</v>
      </c>
      <c r="S57" s="99">
        <v>0.122</v>
      </c>
      <c r="T57" s="5"/>
      <c r="U57" s="16">
        <v>59</v>
      </c>
      <c r="V57" s="9" t="s">
        <v>51</v>
      </c>
      <c r="W57" s="10">
        <v>0.57999999999999996</v>
      </c>
      <c r="X57" s="9">
        <v>0.71</v>
      </c>
      <c r="Y57" s="16">
        <v>138.19999999999999</v>
      </c>
      <c r="Z57" s="5"/>
      <c r="AA57" s="16">
        <v>600</v>
      </c>
      <c r="AB57" s="16">
        <f t="shared" si="22"/>
        <v>400</v>
      </c>
      <c r="AC57" s="91">
        <v>599.99900000000002</v>
      </c>
      <c r="AD57" s="5"/>
      <c r="AE57" s="5"/>
      <c r="AF57" s="5"/>
      <c r="BL57" s="243"/>
      <c r="BM57" s="30"/>
      <c r="BN57" s="30"/>
      <c r="BO57" s="30"/>
      <c r="BP57" s="30"/>
      <c r="BQ57" s="30"/>
      <c r="BR57" s="30"/>
      <c r="BS57" s="30"/>
      <c r="BT57" s="30"/>
      <c r="BU57" s="30"/>
      <c r="CY57" s="5"/>
    </row>
    <row r="58" spans="2:104" ht="15" customHeight="1" x14ac:dyDescent="0.2">
      <c r="B58" s="5"/>
      <c r="C58" s="5"/>
      <c r="D58" s="5"/>
      <c r="E58" s="5"/>
      <c r="J58" s="5"/>
      <c r="K58" s="5"/>
      <c r="L58" s="5"/>
      <c r="M58" s="5"/>
      <c r="N58" s="5"/>
      <c r="O58" s="5"/>
      <c r="P58" s="462">
        <v>0.75</v>
      </c>
      <c r="Q58" s="451"/>
      <c r="R58" s="16">
        <v>0.53300000000000003</v>
      </c>
      <c r="S58" s="91">
        <v>0.21299999999999999</v>
      </c>
      <c r="T58" s="5"/>
      <c r="U58" s="16">
        <v>60</v>
      </c>
      <c r="V58" s="9" t="s">
        <v>51</v>
      </c>
      <c r="W58" s="10">
        <v>0.57999999999999996</v>
      </c>
      <c r="X58" s="9">
        <v>0.71</v>
      </c>
      <c r="Y58" s="16">
        <v>140</v>
      </c>
      <c r="Z58" s="5"/>
      <c r="AA58" s="92">
        <v>800</v>
      </c>
      <c r="AB58" s="92">
        <f t="shared" si="22"/>
        <v>600</v>
      </c>
      <c r="AC58" s="98">
        <v>799.99900000000002</v>
      </c>
      <c r="AD58" s="5"/>
      <c r="AE58" s="5"/>
      <c r="AF58" s="5"/>
      <c r="BL58" s="243"/>
      <c r="BM58" s="30"/>
      <c r="BN58" s="30"/>
      <c r="BO58" s="30"/>
      <c r="BP58" s="30"/>
      <c r="BQ58" s="30"/>
      <c r="BR58" s="30"/>
      <c r="BS58" s="30"/>
      <c r="BT58" s="30"/>
      <c r="BU58" s="30"/>
      <c r="CY58" s="5"/>
    </row>
    <row r="59" spans="2:104" ht="15" customHeight="1" x14ac:dyDescent="0.2">
      <c r="B59" s="5"/>
      <c r="C59" s="5"/>
      <c r="D59" s="5"/>
      <c r="E59" s="5"/>
      <c r="J59" s="5"/>
      <c r="K59" s="5"/>
      <c r="L59" s="5"/>
      <c r="M59" s="5"/>
      <c r="N59" s="5"/>
      <c r="O59" s="5"/>
      <c r="P59" s="462">
        <v>1</v>
      </c>
      <c r="Q59" s="451"/>
      <c r="R59" s="16">
        <v>0.86399999999999999</v>
      </c>
      <c r="S59" s="91">
        <v>0.34599999999999997</v>
      </c>
      <c r="T59" s="5"/>
      <c r="U59" s="16">
        <v>61</v>
      </c>
      <c r="V59" s="9" t="s">
        <v>51</v>
      </c>
      <c r="W59" s="10">
        <v>0.47</v>
      </c>
      <c r="X59" s="9">
        <v>0.65</v>
      </c>
      <c r="Y59" s="16">
        <v>141.80000000000001</v>
      </c>
      <c r="Z59" s="5"/>
      <c r="AA59" s="5"/>
      <c r="AB59" s="5"/>
      <c r="AC59" s="5"/>
      <c r="AD59" s="5"/>
      <c r="AE59" s="5"/>
      <c r="AF59" s="5"/>
      <c r="BL59" s="243"/>
      <c r="BM59" s="30"/>
      <c r="BN59" s="30"/>
      <c r="BO59" s="30"/>
      <c r="BP59" s="30"/>
      <c r="BQ59" s="30"/>
      <c r="BR59" s="30"/>
      <c r="BS59" s="30"/>
      <c r="BT59" s="30"/>
      <c r="BU59" s="30"/>
      <c r="CY59" s="5"/>
    </row>
    <row r="60" spans="2:104" ht="15" customHeight="1" x14ac:dyDescent="0.2">
      <c r="B60" s="5"/>
      <c r="C60" s="5"/>
      <c r="D60" s="5"/>
      <c r="E60" s="5"/>
      <c r="J60" s="5"/>
      <c r="K60" s="5"/>
      <c r="L60" s="5"/>
      <c r="M60" s="5"/>
      <c r="N60" s="5"/>
      <c r="O60" s="5"/>
      <c r="P60" s="462">
        <v>1.25</v>
      </c>
      <c r="Q60" s="451"/>
      <c r="R60" s="16">
        <v>1.496</v>
      </c>
      <c r="S60" s="91">
        <v>0.59799999999999998</v>
      </c>
      <c r="T60" s="5"/>
      <c r="U60" s="16">
        <v>62</v>
      </c>
      <c r="V60" s="9" t="s">
        <v>51</v>
      </c>
      <c r="W60" s="10">
        <v>0.47</v>
      </c>
      <c r="X60" s="9">
        <v>0.65</v>
      </c>
      <c r="Y60" s="16">
        <v>143.60000000000002</v>
      </c>
      <c r="Z60" s="5"/>
      <c r="AA60" s="5"/>
      <c r="AB60" s="5"/>
      <c r="AC60" s="5"/>
      <c r="AD60" s="5"/>
      <c r="AE60" s="5"/>
      <c r="AF60" s="5"/>
      <c r="BL60" s="243"/>
      <c r="BM60" s="30"/>
      <c r="BN60" s="30"/>
      <c r="BO60" s="30"/>
      <c r="BP60" s="30"/>
      <c r="BQ60" s="30"/>
      <c r="BR60" s="30"/>
      <c r="BS60" s="30"/>
      <c r="BT60" s="30"/>
      <c r="BU60" s="30"/>
      <c r="CY60" s="5"/>
    </row>
    <row r="61" spans="2:104" ht="15" customHeight="1" x14ac:dyDescent="0.2">
      <c r="B61" s="5"/>
      <c r="C61" s="5"/>
      <c r="D61" s="5"/>
      <c r="E61" s="5"/>
      <c r="J61" s="5"/>
      <c r="K61" s="5"/>
      <c r="L61" s="5"/>
      <c r="M61" s="5"/>
      <c r="N61" s="5"/>
      <c r="O61" s="5"/>
      <c r="P61" s="462">
        <v>1.5</v>
      </c>
      <c r="Q61" s="451"/>
      <c r="R61" s="16">
        <v>2.036</v>
      </c>
      <c r="S61" s="91">
        <v>0.81399999999999995</v>
      </c>
      <c r="T61" s="5"/>
      <c r="U61" s="16">
        <v>63</v>
      </c>
      <c r="V61" s="9" t="s">
        <v>51</v>
      </c>
      <c r="W61" s="10">
        <v>0.47</v>
      </c>
      <c r="X61" s="9">
        <v>0.65</v>
      </c>
      <c r="Y61" s="16">
        <v>145.4</v>
      </c>
      <c r="Z61" s="5"/>
      <c r="AA61" s="5"/>
      <c r="AB61" s="5"/>
      <c r="AC61" s="5"/>
      <c r="AD61" s="5"/>
      <c r="AE61" s="5"/>
      <c r="AF61" s="5"/>
      <c r="BL61" s="243"/>
      <c r="BM61" s="30"/>
      <c r="BN61" s="30"/>
      <c r="BO61" s="30"/>
      <c r="BP61" s="30"/>
      <c r="BQ61" s="30"/>
      <c r="BR61" s="30"/>
      <c r="BS61" s="30"/>
      <c r="BT61" s="30"/>
      <c r="BU61" s="30"/>
      <c r="CY61" s="5"/>
    </row>
    <row r="62" spans="2:104" ht="15" customHeight="1" x14ac:dyDescent="0.2">
      <c r="B62" s="5"/>
      <c r="C62" s="5"/>
      <c r="D62" s="5"/>
      <c r="E62" s="5"/>
      <c r="J62" s="5"/>
      <c r="K62" s="5"/>
      <c r="L62" s="5"/>
      <c r="M62" s="5"/>
      <c r="N62" s="5"/>
      <c r="O62" s="5"/>
      <c r="P62" s="462">
        <v>2</v>
      </c>
      <c r="Q62" s="451"/>
      <c r="R62" s="16">
        <v>3.3559999999999999</v>
      </c>
      <c r="S62" s="91">
        <v>1.3420000000000001</v>
      </c>
      <c r="T62" s="5"/>
      <c r="U62" s="16">
        <v>64</v>
      </c>
      <c r="V62" s="9" t="s">
        <v>51</v>
      </c>
      <c r="W62" s="10">
        <v>0.47</v>
      </c>
      <c r="X62" s="9">
        <v>0.65</v>
      </c>
      <c r="Y62" s="16">
        <v>147.19999999999999</v>
      </c>
      <c r="Z62" s="5"/>
      <c r="AA62" s="5"/>
      <c r="AB62" s="5"/>
      <c r="AC62" s="5"/>
      <c r="AD62" s="5"/>
      <c r="AE62" s="5"/>
      <c r="AF62" s="5"/>
      <c r="BL62" s="243"/>
      <c r="BM62" s="30"/>
      <c r="BN62" s="30"/>
      <c r="BO62" s="30"/>
      <c r="BP62" s="30"/>
      <c r="BQ62" s="30"/>
      <c r="BR62" s="30"/>
      <c r="BS62" s="30"/>
      <c r="BT62" s="30"/>
      <c r="BU62" s="30"/>
      <c r="CY62" s="5"/>
    </row>
    <row r="63" spans="2:104" ht="15" customHeight="1" x14ac:dyDescent="0.2">
      <c r="B63" s="5"/>
      <c r="C63" s="5"/>
      <c r="D63" s="5"/>
      <c r="E63" s="5"/>
      <c r="J63" s="5"/>
      <c r="K63" s="5"/>
      <c r="L63" s="5"/>
      <c r="M63" s="5"/>
      <c r="N63" s="5"/>
      <c r="O63" s="5"/>
      <c r="P63" s="462">
        <v>2.5</v>
      </c>
      <c r="Q63" s="451"/>
      <c r="R63" s="16">
        <v>5.8579999999999997</v>
      </c>
      <c r="S63" s="91">
        <v>2.343</v>
      </c>
      <c r="T63" s="5"/>
      <c r="U63" s="16">
        <v>65</v>
      </c>
      <c r="V63" s="9" t="s">
        <v>51</v>
      </c>
      <c r="W63" s="10">
        <v>0.47</v>
      </c>
      <c r="X63" s="9">
        <v>0.65</v>
      </c>
      <c r="Y63" s="16">
        <v>149</v>
      </c>
      <c r="Z63" s="5"/>
      <c r="AA63" s="5"/>
      <c r="AB63" s="5"/>
      <c r="AC63" s="5"/>
      <c r="AD63" s="5"/>
      <c r="AE63" s="5"/>
      <c r="AF63" s="5"/>
      <c r="BL63" s="243"/>
      <c r="BM63" s="30"/>
      <c r="BN63" s="30"/>
      <c r="BO63" s="30"/>
      <c r="BP63" s="30"/>
      <c r="BQ63" s="30"/>
      <c r="BR63" s="30"/>
      <c r="BS63" s="30"/>
      <c r="BT63" s="30"/>
      <c r="BU63" s="30"/>
      <c r="CY63" s="5"/>
    </row>
    <row r="64" spans="2:104" ht="15" customHeight="1" x14ac:dyDescent="0.2">
      <c r="B64" s="5"/>
      <c r="C64" s="5"/>
      <c r="D64" s="5"/>
      <c r="E64" s="5"/>
      <c r="J64" s="5"/>
      <c r="K64" s="5"/>
      <c r="L64" s="5"/>
      <c r="M64" s="5"/>
      <c r="N64" s="5"/>
      <c r="O64" s="5"/>
      <c r="P64" s="462">
        <v>3</v>
      </c>
      <c r="Q64" s="451"/>
      <c r="R64" s="16">
        <v>8.8460000000000001</v>
      </c>
      <c r="S64" s="91">
        <v>3.5379999999999998</v>
      </c>
      <c r="T64" s="5"/>
      <c r="U64" s="16">
        <v>66</v>
      </c>
      <c r="V64" s="9" t="s">
        <v>51</v>
      </c>
      <c r="W64" s="10">
        <v>0.33</v>
      </c>
      <c r="X64" s="9">
        <v>0.57999999999999996</v>
      </c>
      <c r="Y64" s="16">
        <v>150.80000000000001</v>
      </c>
      <c r="Z64" s="5"/>
      <c r="AA64" s="5"/>
      <c r="AB64" s="5"/>
      <c r="AC64" s="5"/>
      <c r="AD64" s="5"/>
      <c r="AE64" s="5"/>
      <c r="AF64" s="5"/>
      <c r="BL64" s="243"/>
      <c r="BM64" s="30"/>
      <c r="BN64" s="30"/>
      <c r="BO64" s="30"/>
      <c r="BP64" s="30"/>
      <c r="BQ64" s="30"/>
      <c r="BR64" s="30"/>
      <c r="BS64" s="30"/>
      <c r="BT64" s="30"/>
      <c r="BU64" s="30"/>
      <c r="CY64" s="5"/>
    </row>
    <row r="65" spans="2:103" ht="15" customHeight="1" x14ac:dyDescent="0.2">
      <c r="B65" s="5"/>
      <c r="C65" s="5"/>
      <c r="D65" s="5"/>
      <c r="E65" s="5"/>
      <c r="J65" s="5"/>
      <c r="K65" s="5"/>
      <c r="L65" s="5"/>
      <c r="M65" s="5"/>
      <c r="N65" s="5"/>
      <c r="O65" s="5"/>
      <c r="P65" s="462">
        <v>3.5</v>
      </c>
      <c r="Q65" s="451"/>
      <c r="R65" s="16">
        <v>11.545</v>
      </c>
      <c r="S65" s="91">
        <v>4.6180000000000003</v>
      </c>
      <c r="T65" s="5"/>
      <c r="U65" s="16">
        <v>67</v>
      </c>
      <c r="V65" s="9" t="s">
        <v>51</v>
      </c>
      <c r="W65" s="10">
        <v>0.33</v>
      </c>
      <c r="X65" s="9">
        <v>0.57999999999999996</v>
      </c>
      <c r="Y65" s="16">
        <v>152.60000000000002</v>
      </c>
      <c r="Z65" s="5"/>
      <c r="AA65" s="5"/>
      <c r="AB65" s="5"/>
      <c r="AC65" s="5"/>
      <c r="AD65" s="5"/>
      <c r="AE65" s="5"/>
      <c r="AF65" s="5"/>
      <c r="BL65" s="243"/>
      <c r="BM65" s="30"/>
      <c r="BN65" s="30"/>
      <c r="BO65" s="30"/>
      <c r="BP65" s="30"/>
      <c r="BQ65" s="30"/>
      <c r="BR65" s="30"/>
      <c r="BS65" s="30"/>
      <c r="BT65" s="30"/>
      <c r="BU65" s="30"/>
      <c r="CY65" s="5"/>
    </row>
    <row r="66" spans="2:103" ht="15" customHeight="1" x14ac:dyDescent="0.2">
      <c r="B66" s="5"/>
      <c r="C66" s="5"/>
      <c r="D66" s="5"/>
      <c r="E66" s="5"/>
      <c r="J66" s="5"/>
      <c r="K66" s="5"/>
      <c r="L66" s="5"/>
      <c r="M66" s="5"/>
      <c r="N66" s="5"/>
      <c r="O66" s="5"/>
      <c r="P66" s="480">
        <v>4</v>
      </c>
      <c r="Q66" s="481"/>
      <c r="R66" s="92">
        <v>14.753</v>
      </c>
      <c r="S66" s="98">
        <v>5.9009999999999998</v>
      </c>
      <c r="T66" s="5"/>
      <c r="U66" s="16">
        <v>68</v>
      </c>
      <c r="V66" s="9" t="s">
        <v>51</v>
      </c>
      <c r="W66" s="10">
        <v>0.33</v>
      </c>
      <c r="X66" s="9">
        <v>0.57999999999999996</v>
      </c>
      <c r="Y66" s="16">
        <v>154.4</v>
      </c>
      <c r="Z66" s="5"/>
      <c r="AA66" s="5"/>
      <c r="AB66" s="5"/>
      <c r="AC66" s="5"/>
      <c r="AD66" s="5"/>
      <c r="AE66" s="5"/>
      <c r="AF66" s="5"/>
      <c r="BL66" s="243"/>
      <c r="BM66" s="30"/>
      <c r="BN66" s="30"/>
      <c r="BO66" s="30"/>
      <c r="BP66" s="30"/>
      <c r="BQ66" s="30"/>
      <c r="BR66" s="30"/>
      <c r="BS66" s="30"/>
      <c r="BT66" s="30"/>
      <c r="BU66" s="30"/>
      <c r="CY66" s="5"/>
    </row>
    <row r="67" spans="2:103" ht="15" customHeight="1" x14ac:dyDescent="0.2">
      <c r="B67" s="5"/>
      <c r="C67" s="5"/>
      <c r="D67" s="5"/>
      <c r="E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16">
        <v>69</v>
      </c>
      <c r="V67" s="9" t="s">
        <v>51</v>
      </c>
      <c r="W67" s="10">
        <v>0.33</v>
      </c>
      <c r="X67" s="9">
        <v>0.57999999999999996</v>
      </c>
      <c r="Y67" s="16">
        <v>156.19999999999999</v>
      </c>
      <c r="Z67" s="5"/>
      <c r="AA67" s="5"/>
      <c r="AB67" s="5"/>
      <c r="AC67" s="5"/>
      <c r="AD67" s="5"/>
      <c r="AE67" s="5"/>
      <c r="AF67" s="5"/>
      <c r="BL67" s="243"/>
      <c r="BM67" s="30"/>
      <c r="BN67" s="30"/>
      <c r="BO67" s="30"/>
      <c r="BP67" s="30"/>
      <c r="BQ67" s="30"/>
      <c r="BR67" s="30"/>
      <c r="BS67" s="30"/>
      <c r="BT67" s="30"/>
      <c r="BU67" s="30"/>
      <c r="CY67" s="5"/>
    </row>
    <row r="68" spans="2:103" ht="15" customHeight="1" x14ac:dyDescent="0.2">
      <c r="B68" s="5"/>
      <c r="C68" s="5"/>
      <c r="D68" s="5"/>
      <c r="E68" s="5"/>
      <c r="J68" s="5"/>
      <c r="K68" s="5"/>
      <c r="L68" s="5"/>
      <c r="M68" s="5"/>
      <c r="N68" s="5"/>
      <c r="O68" s="5"/>
      <c r="P68" s="482" t="s">
        <v>16</v>
      </c>
      <c r="Q68" s="482"/>
      <c r="R68" s="482"/>
      <c r="S68" s="482"/>
      <c r="T68" s="5"/>
      <c r="U68" s="16">
        <v>70</v>
      </c>
      <c r="V68" s="9" t="s">
        <v>51</v>
      </c>
      <c r="W68" s="10">
        <v>0.33</v>
      </c>
      <c r="X68" s="9">
        <v>0.57999999999999996</v>
      </c>
      <c r="Y68" s="16">
        <v>158</v>
      </c>
      <c r="Z68" s="5"/>
      <c r="AA68" s="5"/>
      <c r="AB68" s="5"/>
      <c r="AC68" s="5"/>
      <c r="AD68" s="5"/>
      <c r="AE68" s="5"/>
      <c r="AF68" s="5"/>
      <c r="BL68" s="243"/>
      <c r="BM68" s="30"/>
      <c r="BN68" s="30"/>
      <c r="BO68" s="30"/>
      <c r="BP68" s="30"/>
      <c r="BQ68" s="30"/>
      <c r="BR68" s="30"/>
      <c r="BS68" s="30"/>
      <c r="BT68" s="30"/>
      <c r="BU68" s="30"/>
      <c r="CY68" s="5"/>
    </row>
    <row r="69" spans="2:103" ht="15" customHeight="1" x14ac:dyDescent="0.2">
      <c r="B69" s="5"/>
      <c r="C69" s="5"/>
      <c r="D69" s="5"/>
      <c r="E69" s="5"/>
      <c r="J69" s="5"/>
      <c r="K69" s="5"/>
      <c r="L69" s="5"/>
      <c r="M69" s="5"/>
      <c r="N69" s="5"/>
      <c r="O69" s="5"/>
      <c r="P69" s="482"/>
      <c r="Q69" s="482"/>
      <c r="R69" s="482"/>
      <c r="S69" s="482"/>
      <c r="T69" s="5"/>
      <c r="U69" s="16">
        <v>71</v>
      </c>
      <c r="V69" s="9" t="s">
        <v>51</v>
      </c>
      <c r="W69" s="10" t="s">
        <v>51</v>
      </c>
      <c r="X69" s="9">
        <v>0.5</v>
      </c>
      <c r="Y69" s="16">
        <v>159.80000000000001</v>
      </c>
      <c r="Z69" s="5"/>
      <c r="AA69" s="5"/>
      <c r="AB69" s="5"/>
      <c r="AC69" s="5"/>
      <c r="AD69" s="5"/>
      <c r="AE69" s="5"/>
      <c r="AF69" s="5"/>
      <c r="BL69" s="243"/>
      <c r="BM69" s="30"/>
      <c r="BN69" s="30"/>
      <c r="BO69" s="30"/>
      <c r="BP69" s="30"/>
      <c r="BQ69" s="30"/>
      <c r="BR69" s="30"/>
      <c r="BS69" s="30"/>
      <c r="BT69" s="30"/>
      <c r="BU69" s="30"/>
      <c r="CY69" s="5"/>
    </row>
    <row r="70" spans="2:103" ht="15" customHeight="1" x14ac:dyDescent="0.2">
      <c r="B70" s="5"/>
      <c r="C70" s="5"/>
      <c r="D70" s="5"/>
      <c r="E70" s="5"/>
      <c r="J70" s="5"/>
      <c r="K70" s="5"/>
      <c r="L70" s="5"/>
      <c r="M70" s="5"/>
      <c r="N70" s="5"/>
      <c r="O70" s="5"/>
      <c r="P70" s="471" t="s">
        <v>18</v>
      </c>
      <c r="Q70" s="471"/>
      <c r="R70" s="471" t="s">
        <v>17</v>
      </c>
      <c r="S70" s="471"/>
      <c r="T70" s="5"/>
      <c r="U70" s="16">
        <v>72</v>
      </c>
      <c r="V70" s="9" t="s">
        <v>51</v>
      </c>
      <c r="W70" s="10" t="s">
        <v>51</v>
      </c>
      <c r="X70" s="9">
        <v>0.5</v>
      </c>
      <c r="Y70" s="16">
        <v>161.6</v>
      </c>
      <c r="Z70" s="5"/>
      <c r="AA70" s="5"/>
      <c r="AB70" s="5"/>
      <c r="AC70" s="5"/>
      <c r="AD70" s="5"/>
      <c r="AE70" s="5"/>
      <c r="AF70" s="5"/>
      <c r="BL70" s="243"/>
      <c r="BM70" s="30"/>
      <c r="BN70" s="30"/>
      <c r="BO70" s="30"/>
      <c r="BP70" s="30"/>
      <c r="BQ70" s="30"/>
      <c r="BR70" s="30"/>
      <c r="BS70" s="30"/>
      <c r="BT70" s="30"/>
      <c r="BU70" s="30"/>
      <c r="CY70" s="5"/>
    </row>
    <row r="71" spans="2:103" ht="15" customHeight="1" x14ac:dyDescent="0.2">
      <c r="B71" s="5"/>
      <c r="C71" s="5"/>
      <c r="D71" s="5"/>
      <c r="E71" s="5"/>
      <c r="J71" s="5"/>
      <c r="K71" s="5"/>
      <c r="L71" s="5"/>
      <c r="M71" s="5"/>
      <c r="N71" s="5"/>
      <c r="O71" s="5"/>
      <c r="P71" s="462">
        <v>18</v>
      </c>
      <c r="Q71" s="451"/>
      <c r="R71" s="462" t="s">
        <v>51</v>
      </c>
      <c r="S71" s="451"/>
      <c r="T71" s="5"/>
      <c r="U71" s="16">
        <v>73</v>
      </c>
      <c r="V71" s="9" t="s">
        <v>51</v>
      </c>
      <c r="W71" s="10" t="s">
        <v>51</v>
      </c>
      <c r="X71" s="9">
        <v>0.5</v>
      </c>
      <c r="Y71" s="16">
        <v>163.4</v>
      </c>
      <c r="Z71" s="5"/>
      <c r="AA71" s="5"/>
      <c r="AB71" s="5"/>
      <c r="AC71" s="5"/>
      <c r="AD71" s="5"/>
      <c r="AE71" s="5"/>
      <c r="AF71" s="5"/>
      <c r="BL71" s="243"/>
      <c r="BM71" s="30"/>
      <c r="BN71" s="30"/>
      <c r="BO71" s="30"/>
      <c r="BP71" s="30"/>
      <c r="BQ71" s="30"/>
      <c r="BR71" s="30"/>
      <c r="BS71" s="30"/>
      <c r="BT71" s="30"/>
      <c r="BU71" s="30"/>
      <c r="CY71" s="5"/>
    </row>
    <row r="72" spans="2:103" ht="15" customHeight="1" x14ac:dyDescent="0.2">
      <c r="B72" s="5"/>
      <c r="C72" s="5"/>
      <c r="D72" s="5"/>
      <c r="E72" s="5"/>
      <c r="J72" s="5"/>
      <c r="K72" s="5"/>
      <c r="L72" s="5"/>
      <c r="M72" s="5"/>
      <c r="N72" s="5"/>
      <c r="O72" s="5"/>
      <c r="P72" s="462">
        <v>16</v>
      </c>
      <c r="Q72" s="451"/>
      <c r="R72" s="462" t="s">
        <v>51</v>
      </c>
      <c r="S72" s="451"/>
      <c r="T72" s="5"/>
      <c r="U72" s="16">
        <v>74</v>
      </c>
      <c r="V72" s="9" t="s">
        <v>51</v>
      </c>
      <c r="W72" s="10" t="s">
        <v>51</v>
      </c>
      <c r="X72" s="9">
        <v>0.5</v>
      </c>
      <c r="Y72" s="16">
        <v>165.20000000000002</v>
      </c>
      <c r="Z72" s="5"/>
      <c r="AA72" s="5"/>
      <c r="AB72" s="5"/>
      <c r="AC72" s="5"/>
      <c r="AD72" s="5"/>
      <c r="AE72" s="5"/>
      <c r="AF72" s="5"/>
      <c r="BL72" s="243"/>
      <c r="BM72" s="30"/>
      <c r="BN72" s="30"/>
      <c r="BO72" s="30"/>
      <c r="BP72" s="30"/>
      <c r="BQ72" s="30"/>
      <c r="BR72" s="30"/>
      <c r="BS72" s="30"/>
      <c r="BT72" s="30"/>
      <c r="BU72" s="30"/>
      <c r="CY72" s="5"/>
    </row>
    <row r="73" spans="2:103" ht="15" customHeight="1" x14ac:dyDescent="0.2">
      <c r="B73" s="5"/>
      <c r="C73" s="5"/>
      <c r="D73" s="5"/>
      <c r="E73" s="5"/>
      <c r="J73" s="5"/>
      <c r="K73" s="5"/>
      <c r="L73" s="5"/>
      <c r="M73" s="5"/>
      <c r="N73" s="5"/>
      <c r="O73" s="5"/>
      <c r="P73" s="462">
        <v>14</v>
      </c>
      <c r="Q73" s="451"/>
      <c r="R73" s="462">
        <v>20</v>
      </c>
      <c r="S73" s="451"/>
      <c r="T73" s="5"/>
      <c r="U73" s="16">
        <v>75</v>
      </c>
      <c r="V73" s="9" t="s">
        <v>51</v>
      </c>
      <c r="W73" s="10" t="s">
        <v>51</v>
      </c>
      <c r="X73" s="9">
        <v>0.5</v>
      </c>
      <c r="Y73" s="16">
        <v>167</v>
      </c>
      <c r="Z73" s="5"/>
      <c r="AA73" s="5"/>
      <c r="AB73" s="5"/>
      <c r="AC73" s="5"/>
      <c r="AD73" s="5"/>
      <c r="AE73" s="5"/>
      <c r="AF73" s="5"/>
      <c r="BL73" s="243"/>
      <c r="BM73" s="30"/>
      <c r="BN73" s="30"/>
      <c r="BO73" s="30"/>
      <c r="BP73" s="30"/>
      <c r="BQ73" s="30"/>
      <c r="BR73" s="30"/>
      <c r="BS73" s="30"/>
      <c r="BT73" s="30"/>
      <c r="BU73" s="30"/>
      <c r="CY73" s="5"/>
    </row>
    <row r="74" spans="2:103" ht="15" customHeight="1" x14ac:dyDescent="0.2">
      <c r="B74" s="5"/>
      <c r="C74" s="5"/>
      <c r="D74" s="5"/>
      <c r="E74" s="5"/>
      <c r="J74" s="5"/>
      <c r="K74" s="5"/>
      <c r="L74" s="5"/>
      <c r="M74" s="5"/>
      <c r="N74" s="5"/>
      <c r="O74" s="5"/>
      <c r="P74" s="462">
        <v>12</v>
      </c>
      <c r="Q74" s="451"/>
      <c r="R74" s="462">
        <v>25</v>
      </c>
      <c r="S74" s="451"/>
      <c r="T74" s="5"/>
      <c r="U74" s="16">
        <v>76</v>
      </c>
      <c r="V74" s="9" t="s">
        <v>51</v>
      </c>
      <c r="W74" s="10" t="s">
        <v>51</v>
      </c>
      <c r="X74" s="9">
        <v>0.41</v>
      </c>
      <c r="Y74" s="16">
        <v>168.8</v>
      </c>
      <c r="Z74" s="5"/>
      <c r="AA74" s="5"/>
      <c r="AB74" s="5"/>
      <c r="AC74" s="5"/>
      <c r="AD74" s="5"/>
      <c r="AE74" s="5"/>
      <c r="AF74" s="5"/>
      <c r="BL74" s="243"/>
      <c r="BM74" s="30"/>
      <c r="BN74" s="30"/>
      <c r="BO74" s="30"/>
      <c r="BP74" s="30"/>
      <c r="BQ74" s="30"/>
      <c r="BR74" s="30"/>
      <c r="BS74" s="30"/>
      <c r="BT74" s="30"/>
      <c r="BU74" s="30"/>
      <c r="CY74" s="5"/>
    </row>
    <row r="75" spans="2:103" ht="15" customHeight="1" x14ac:dyDescent="0.2">
      <c r="B75" s="5"/>
      <c r="C75" s="5"/>
      <c r="D75" s="5"/>
      <c r="E75" s="5"/>
      <c r="J75" s="5"/>
      <c r="K75" s="5"/>
      <c r="L75" s="5"/>
      <c r="M75" s="5"/>
      <c r="N75" s="5"/>
      <c r="O75" s="5"/>
      <c r="P75" s="462">
        <v>10</v>
      </c>
      <c r="Q75" s="451"/>
      <c r="R75" s="462">
        <v>35</v>
      </c>
      <c r="S75" s="451"/>
      <c r="T75" s="5"/>
      <c r="U75" s="16">
        <v>77</v>
      </c>
      <c r="V75" s="9" t="s">
        <v>51</v>
      </c>
      <c r="W75" s="10" t="s">
        <v>51</v>
      </c>
      <c r="X75" s="9">
        <v>0.41</v>
      </c>
      <c r="Y75" s="16">
        <v>170.6</v>
      </c>
      <c r="Z75" s="5"/>
      <c r="AA75" s="5"/>
      <c r="AB75" s="5"/>
      <c r="AC75" s="5"/>
      <c r="AD75" s="5"/>
      <c r="AE75" s="5"/>
      <c r="AF75" s="5"/>
      <c r="BL75" s="243"/>
      <c r="BM75" s="30"/>
      <c r="BN75" s="30"/>
      <c r="BO75" s="30"/>
      <c r="BP75" s="30"/>
      <c r="BQ75" s="30"/>
      <c r="BR75" s="30"/>
      <c r="BS75" s="30"/>
      <c r="BT75" s="30"/>
      <c r="BU75" s="30"/>
      <c r="CY75" s="5"/>
    </row>
    <row r="76" spans="2:103" ht="15" customHeight="1" x14ac:dyDescent="0.2">
      <c r="B76" s="5"/>
      <c r="C76" s="5"/>
      <c r="D76" s="5"/>
      <c r="E76" s="5"/>
      <c r="J76" s="5"/>
      <c r="K76" s="5"/>
      <c r="L76" s="5"/>
      <c r="M76" s="5"/>
      <c r="N76" s="5"/>
      <c r="O76" s="5"/>
      <c r="P76" s="462">
        <v>8</v>
      </c>
      <c r="Q76" s="451"/>
      <c r="R76" s="462">
        <v>50</v>
      </c>
      <c r="S76" s="451"/>
      <c r="T76" s="5"/>
      <c r="U76" s="16">
        <v>78</v>
      </c>
      <c r="V76" s="9" t="s">
        <v>51</v>
      </c>
      <c r="W76" s="10" t="s">
        <v>51</v>
      </c>
      <c r="X76" s="9">
        <v>0.41</v>
      </c>
      <c r="Y76" s="16">
        <v>172.4</v>
      </c>
      <c r="Z76" s="5"/>
      <c r="AA76" s="5"/>
      <c r="AB76" s="5"/>
      <c r="AC76" s="5"/>
      <c r="AD76" s="5"/>
      <c r="AE76" s="5"/>
      <c r="AF76" s="5"/>
      <c r="BL76" s="243"/>
      <c r="BM76" s="30"/>
      <c r="BN76" s="30"/>
      <c r="BO76" s="30"/>
      <c r="BP76" s="30"/>
      <c r="BQ76" s="30"/>
      <c r="BR76" s="30"/>
      <c r="BS76" s="30"/>
      <c r="BT76" s="30"/>
      <c r="BU76" s="30"/>
      <c r="CY76" s="5"/>
    </row>
    <row r="77" spans="2:103" ht="15" customHeight="1" x14ac:dyDescent="0.2">
      <c r="B77" s="5"/>
      <c r="C77" s="5"/>
      <c r="D77" s="5"/>
      <c r="E77" s="5"/>
      <c r="J77" s="5"/>
      <c r="K77" s="5"/>
      <c r="L77" s="5"/>
      <c r="M77" s="5"/>
      <c r="N77" s="5"/>
      <c r="O77" s="5"/>
      <c r="P77" s="462">
        <v>6</v>
      </c>
      <c r="Q77" s="451"/>
      <c r="R77" s="462">
        <v>65</v>
      </c>
      <c r="S77" s="451"/>
      <c r="T77" s="5"/>
      <c r="U77" s="16">
        <v>79</v>
      </c>
      <c r="V77" s="9" t="s">
        <v>51</v>
      </c>
      <c r="W77" s="10" t="s">
        <v>51</v>
      </c>
      <c r="X77" s="9">
        <v>0.41</v>
      </c>
      <c r="Y77" s="16">
        <v>174.20000000000002</v>
      </c>
      <c r="Z77" s="5"/>
      <c r="AA77" s="5"/>
      <c r="AB77" s="5"/>
      <c r="AC77" s="5"/>
      <c r="AD77" s="5"/>
      <c r="AE77" s="5"/>
      <c r="AF77" s="5"/>
      <c r="BL77" s="243"/>
      <c r="BM77" s="30"/>
      <c r="BN77" s="30"/>
      <c r="BO77" s="30"/>
      <c r="BP77" s="30"/>
      <c r="BQ77" s="30"/>
      <c r="BR77" s="30"/>
      <c r="BS77" s="30"/>
      <c r="BT77" s="30"/>
      <c r="BU77" s="30"/>
      <c r="CY77" s="5"/>
    </row>
    <row r="78" spans="2:103" ht="15" customHeight="1" x14ac:dyDescent="0.2">
      <c r="B78" s="5"/>
      <c r="C78" s="5"/>
      <c r="D78" s="5"/>
      <c r="E78" s="5"/>
      <c r="J78" s="5"/>
      <c r="K78" s="5"/>
      <c r="L78" s="5"/>
      <c r="M78" s="5"/>
      <c r="N78" s="5"/>
      <c r="O78" s="5"/>
      <c r="P78" s="462">
        <v>4</v>
      </c>
      <c r="Q78" s="451"/>
      <c r="R78" s="462">
        <v>85</v>
      </c>
      <c r="S78" s="451"/>
      <c r="T78" s="5"/>
      <c r="U78" s="16">
        <v>80</v>
      </c>
      <c r="V78" s="9" t="s">
        <v>51</v>
      </c>
      <c r="W78" s="10" t="s">
        <v>51</v>
      </c>
      <c r="X78" s="9">
        <v>0.41</v>
      </c>
      <c r="Y78" s="16">
        <v>176</v>
      </c>
      <c r="Z78" s="5"/>
      <c r="AA78" s="5"/>
      <c r="AB78" s="5"/>
      <c r="AC78" s="5"/>
      <c r="AD78" s="5"/>
      <c r="AE78" s="5"/>
      <c r="AF78" s="5"/>
      <c r="BL78" s="243"/>
      <c r="BM78" s="30"/>
      <c r="BN78" s="30"/>
      <c r="BO78" s="30"/>
      <c r="BP78" s="30"/>
      <c r="BQ78" s="30"/>
      <c r="BR78" s="30"/>
      <c r="BS78" s="30"/>
      <c r="BT78" s="30"/>
      <c r="BU78" s="30"/>
      <c r="CY78" s="5"/>
    </row>
    <row r="79" spans="2:103" ht="15" customHeight="1" x14ac:dyDescent="0.2">
      <c r="B79" s="5"/>
      <c r="C79" s="5"/>
      <c r="D79" s="5"/>
      <c r="E79" s="5"/>
      <c r="J79" s="5"/>
      <c r="K79" s="5"/>
      <c r="L79" s="5"/>
      <c r="M79" s="5"/>
      <c r="N79" s="5"/>
      <c r="O79" s="5"/>
      <c r="P79" s="462">
        <v>3</v>
      </c>
      <c r="Q79" s="451"/>
      <c r="R79" s="462">
        <v>100</v>
      </c>
      <c r="S79" s="451"/>
      <c r="T79" s="5"/>
      <c r="U79" s="16">
        <v>81</v>
      </c>
      <c r="V79" s="9" t="s">
        <v>51</v>
      </c>
      <c r="W79" s="10" t="s">
        <v>51</v>
      </c>
      <c r="X79" s="9">
        <v>0.28999999999999998</v>
      </c>
      <c r="Y79" s="16">
        <v>177.8</v>
      </c>
      <c r="Z79" s="5"/>
      <c r="AA79" s="5"/>
      <c r="AB79" s="5"/>
      <c r="AC79" s="5"/>
      <c r="AD79" s="5"/>
      <c r="AE79" s="5"/>
      <c r="AF79" s="5"/>
      <c r="BL79" s="243"/>
      <c r="BM79" s="30"/>
      <c r="BN79" s="30"/>
      <c r="BO79" s="30"/>
      <c r="BP79" s="30"/>
      <c r="BQ79" s="30"/>
      <c r="BR79" s="30"/>
      <c r="BS79" s="30"/>
      <c r="BT79" s="30"/>
      <c r="BU79" s="30"/>
      <c r="CY79" s="5"/>
    </row>
    <row r="80" spans="2:103" ht="15" customHeight="1" x14ac:dyDescent="0.2">
      <c r="B80" s="5"/>
      <c r="C80" s="5"/>
      <c r="D80" s="5"/>
      <c r="E80" s="5"/>
      <c r="J80" s="5"/>
      <c r="K80" s="5"/>
      <c r="L80" s="5"/>
      <c r="M80" s="5"/>
      <c r="N80" s="5"/>
      <c r="O80" s="5"/>
      <c r="P80" s="462">
        <v>2</v>
      </c>
      <c r="Q80" s="451"/>
      <c r="R80" s="462">
        <v>115</v>
      </c>
      <c r="S80" s="451"/>
      <c r="T80" s="5"/>
      <c r="U80" s="16">
        <v>82</v>
      </c>
      <c r="V80" s="9" t="s">
        <v>51</v>
      </c>
      <c r="W80" s="10" t="s">
        <v>51</v>
      </c>
      <c r="X80" s="9">
        <v>0.28999999999999998</v>
      </c>
      <c r="Y80" s="16">
        <v>179.6</v>
      </c>
      <c r="Z80" s="5"/>
      <c r="AA80" s="5"/>
      <c r="AB80" s="5"/>
      <c r="AC80" s="5"/>
      <c r="AD80" s="5"/>
      <c r="AE80" s="5"/>
      <c r="AF80" s="5"/>
      <c r="BL80" s="243"/>
      <c r="BM80" s="30"/>
      <c r="BN80" s="30"/>
      <c r="BO80" s="30"/>
      <c r="BP80" s="30"/>
      <c r="BQ80" s="30"/>
      <c r="BR80" s="30"/>
      <c r="BS80" s="30"/>
      <c r="BT80" s="30"/>
      <c r="BU80" s="30"/>
      <c r="CY80" s="5"/>
    </row>
    <row r="81" spans="2:103" ht="15" customHeight="1" x14ac:dyDescent="0.2">
      <c r="B81" s="5"/>
      <c r="C81" s="5"/>
      <c r="D81" s="5"/>
      <c r="E81" s="5"/>
      <c r="J81" s="5"/>
      <c r="K81" s="5"/>
      <c r="L81" s="5"/>
      <c r="M81" s="5"/>
      <c r="N81" s="5"/>
      <c r="O81" s="5"/>
      <c r="P81" s="462">
        <v>1</v>
      </c>
      <c r="Q81" s="451"/>
      <c r="R81" s="450">
        <v>130</v>
      </c>
      <c r="S81" s="451"/>
      <c r="T81" s="5"/>
      <c r="U81" s="16">
        <v>83</v>
      </c>
      <c r="V81" s="9" t="s">
        <v>51</v>
      </c>
      <c r="W81" s="10" t="s">
        <v>51</v>
      </c>
      <c r="X81" s="9">
        <v>0.28999999999999998</v>
      </c>
      <c r="Y81" s="16">
        <v>181.4</v>
      </c>
      <c r="Z81" s="5"/>
      <c r="AA81" s="5"/>
      <c r="AB81" s="5"/>
      <c r="AC81" s="5"/>
      <c r="AD81" s="5"/>
      <c r="AE81" s="5"/>
      <c r="AF81" s="5"/>
      <c r="BL81" s="243"/>
      <c r="BM81" s="30"/>
      <c r="BN81" s="30"/>
      <c r="BO81" s="30"/>
      <c r="BP81" s="30"/>
      <c r="BQ81" s="30"/>
      <c r="BR81" s="30"/>
      <c r="BS81" s="30"/>
      <c r="BT81" s="30"/>
      <c r="BU81" s="30"/>
      <c r="CY81" s="5"/>
    </row>
    <row r="82" spans="2:103" ht="15" customHeight="1" x14ac:dyDescent="0.2">
      <c r="B82" s="5"/>
      <c r="C82" s="5"/>
      <c r="D82" s="5"/>
      <c r="E82" s="5"/>
      <c r="J82" s="5"/>
      <c r="K82" s="5"/>
      <c r="L82" s="5"/>
      <c r="M82" s="5"/>
      <c r="N82" s="5"/>
      <c r="O82" s="5"/>
      <c r="P82" s="448" t="s">
        <v>19</v>
      </c>
      <c r="Q82" s="449"/>
      <c r="R82" s="450">
        <v>150</v>
      </c>
      <c r="S82" s="451"/>
      <c r="T82" s="5"/>
      <c r="U82" s="16">
        <v>84</v>
      </c>
      <c r="V82" s="9" t="s">
        <v>51</v>
      </c>
      <c r="W82" s="10" t="s">
        <v>51</v>
      </c>
      <c r="X82" s="9">
        <v>0.28999999999999998</v>
      </c>
      <c r="Y82" s="16">
        <v>183.20000000000002</v>
      </c>
      <c r="Z82" s="5"/>
      <c r="AA82" s="5"/>
      <c r="AB82" s="5"/>
      <c r="AC82" s="5"/>
      <c r="AD82" s="5"/>
      <c r="AE82" s="5"/>
      <c r="AF82" s="5"/>
      <c r="BL82" s="243"/>
      <c r="BM82" s="30"/>
      <c r="BN82" s="30"/>
      <c r="BO82" s="30"/>
      <c r="BP82" s="30"/>
      <c r="BQ82" s="30"/>
      <c r="BR82" s="30"/>
      <c r="BS82" s="30"/>
      <c r="BT82" s="30"/>
      <c r="BU82" s="30"/>
      <c r="CY82" s="5"/>
    </row>
    <row r="83" spans="2:103" ht="15" customHeight="1" x14ac:dyDescent="0.2">
      <c r="B83" s="5"/>
      <c r="C83" s="5"/>
      <c r="D83" s="5"/>
      <c r="E83" s="5"/>
      <c r="J83" s="5"/>
      <c r="K83" s="5"/>
      <c r="L83" s="5"/>
      <c r="M83" s="5"/>
      <c r="N83" s="5"/>
      <c r="O83" s="5"/>
      <c r="P83" s="448" t="s">
        <v>29</v>
      </c>
      <c r="Q83" s="449"/>
      <c r="R83" s="450">
        <v>175</v>
      </c>
      <c r="S83" s="451"/>
      <c r="T83" s="5"/>
      <c r="U83" s="92">
        <v>85</v>
      </c>
      <c r="V83" s="104" t="s">
        <v>51</v>
      </c>
      <c r="W83" s="11" t="s">
        <v>51</v>
      </c>
      <c r="X83" s="12">
        <v>0.28999999999999998</v>
      </c>
      <c r="Y83" s="92">
        <v>185</v>
      </c>
      <c r="Z83" s="5"/>
      <c r="AA83" s="5"/>
      <c r="AB83" s="5"/>
      <c r="AC83" s="5"/>
      <c r="AD83" s="5"/>
      <c r="AE83" s="5"/>
      <c r="AF83" s="5"/>
      <c r="BL83" s="243"/>
      <c r="BM83" s="30"/>
      <c r="BN83" s="30"/>
      <c r="BO83" s="30"/>
      <c r="BP83" s="30"/>
      <c r="BQ83" s="30"/>
      <c r="BR83" s="30"/>
      <c r="BS83" s="30"/>
      <c r="BT83" s="30"/>
      <c r="BU83" s="30"/>
      <c r="CY83" s="5"/>
    </row>
    <row r="84" spans="2:103" ht="15" customHeight="1" x14ac:dyDescent="0.2">
      <c r="B84" s="5"/>
      <c r="C84" s="5"/>
      <c r="D84" s="5"/>
      <c r="E84" s="5"/>
      <c r="J84" s="5"/>
      <c r="K84" s="5"/>
      <c r="L84" s="5"/>
      <c r="M84" s="5"/>
      <c r="N84" s="5"/>
      <c r="O84" s="5"/>
      <c r="P84" s="448" t="s">
        <v>28</v>
      </c>
      <c r="Q84" s="449"/>
      <c r="R84" s="450">
        <v>200</v>
      </c>
      <c r="S84" s="451"/>
      <c r="T84" s="5"/>
      <c r="U84" s="5"/>
      <c r="Y84" s="5"/>
      <c r="Z84" s="5"/>
      <c r="AA84" s="5"/>
      <c r="AB84" s="5"/>
      <c r="AC84" s="5"/>
      <c r="AD84" s="5"/>
      <c r="AE84" s="5"/>
      <c r="AF84" s="5"/>
      <c r="BL84" s="243"/>
      <c r="BM84" s="30"/>
      <c r="BN84" s="30"/>
      <c r="BO84" s="30"/>
      <c r="BP84" s="30"/>
      <c r="BQ84" s="30"/>
      <c r="BR84" s="30"/>
      <c r="BS84" s="30"/>
      <c r="BT84" s="30"/>
      <c r="BU84" s="30"/>
      <c r="CY84" s="5"/>
    </row>
    <row r="85" spans="2:103" ht="15" customHeight="1" x14ac:dyDescent="0.2">
      <c r="B85" s="5"/>
      <c r="C85" s="5"/>
      <c r="D85" s="5"/>
      <c r="E85" s="5"/>
      <c r="J85" s="5"/>
      <c r="K85" s="5"/>
      <c r="L85" s="5"/>
      <c r="M85" s="5"/>
      <c r="N85" s="5"/>
      <c r="O85" s="5"/>
      <c r="P85" s="448" t="s">
        <v>27</v>
      </c>
      <c r="Q85" s="449"/>
      <c r="R85" s="450">
        <v>230</v>
      </c>
      <c r="S85" s="451"/>
      <c r="T85" s="5"/>
      <c r="U85" s="5"/>
      <c r="V85" s="5"/>
      <c r="W85" s="17" t="s">
        <v>81</v>
      </c>
      <c r="X85" s="99">
        <v>29</v>
      </c>
      <c r="Y85" s="5"/>
      <c r="Z85" s="15" t="s">
        <v>88</v>
      </c>
      <c r="AA85" s="5"/>
      <c r="AB85" s="5"/>
      <c r="AC85" s="5"/>
      <c r="AD85" s="5"/>
      <c r="AE85" s="5"/>
      <c r="AF85" s="5"/>
      <c r="BL85" s="243"/>
      <c r="BM85" s="30"/>
      <c r="BN85" s="30"/>
      <c r="BO85" s="30"/>
      <c r="BP85" s="30"/>
      <c r="BQ85" s="30"/>
      <c r="BR85" s="30"/>
      <c r="BS85" s="30"/>
      <c r="BT85" s="30"/>
      <c r="BU85" s="30"/>
      <c r="CY85" s="5"/>
    </row>
    <row r="86" spans="2:103" ht="15" customHeight="1" x14ac:dyDescent="0.2">
      <c r="B86" s="5"/>
      <c r="C86" s="5"/>
      <c r="D86" s="5"/>
      <c r="E86" s="5"/>
      <c r="J86" s="5"/>
      <c r="K86" s="5"/>
      <c r="L86" s="5"/>
      <c r="M86" s="5"/>
      <c r="N86" s="5"/>
      <c r="O86" s="5"/>
      <c r="P86" s="448" t="s">
        <v>30</v>
      </c>
      <c r="Q86" s="449"/>
      <c r="R86" s="450">
        <v>255</v>
      </c>
      <c r="S86" s="451"/>
      <c r="T86" s="5"/>
      <c r="U86" s="5"/>
      <c r="V86" s="5"/>
      <c r="W86" s="18" t="s">
        <v>82</v>
      </c>
      <c r="X86" s="91">
        <v>30</v>
      </c>
      <c r="Y86" s="5"/>
      <c r="Z86" s="92" t="s">
        <v>89</v>
      </c>
      <c r="AA86" s="5"/>
      <c r="AB86" s="5"/>
      <c r="AC86" s="5"/>
      <c r="AD86" s="5"/>
      <c r="AE86" s="5"/>
      <c r="AF86" s="5"/>
      <c r="BL86" s="243"/>
      <c r="BM86" s="30"/>
      <c r="BN86" s="30"/>
      <c r="BO86" s="30"/>
      <c r="BP86" s="30"/>
      <c r="BQ86" s="30"/>
      <c r="BR86" s="30"/>
      <c r="BS86" s="30"/>
      <c r="BT86" s="30"/>
      <c r="BU86" s="30"/>
      <c r="CY86" s="5"/>
    </row>
    <row r="87" spans="2:103" ht="15" customHeight="1" x14ac:dyDescent="0.2">
      <c r="B87" s="5"/>
      <c r="C87" s="5"/>
      <c r="D87" s="5"/>
      <c r="E87" s="5"/>
      <c r="J87" s="5"/>
      <c r="K87" s="5"/>
      <c r="L87" s="5"/>
      <c r="M87" s="5"/>
      <c r="N87" s="5"/>
      <c r="O87" s="5"/>
      <c r="P87" s="448" t="s">
        <v>31</v>
      </c>
      <c r="Q87" s="449"/>
      <c r="R87" s="450">
        <v>285</v>
      </c>
      <c r="S87" s="451"/>
      <c r="T87" s="5"/>
      <c r="U87" s="5"/>
      <c r="V87" s="5"/>
      <c r="W87" s="18" t="s">
        <v>83</v>
      </c>
      <c r="X87" s="91">
        <v>32</v>
      </c>
      <c r="Y87" s="5"/>
      <c r="Z87" s="5"/>
      <c r="AA87" s="5"/>
      <c r="AB87" s="5"/>
      <c r="AC87" s="5"/>
      <c r="AD87" s="5"/>
      <c r="AE87" s="5"/>
      <c r="AF87" s="5"/>
      <c r="BL87" s="243"/>
      <c r="BM87" s="30"/>
      <c r="BN87" s="30"/>
      <c r="BO87" s="30"/>
      <c r="BP87" s="30"/>
      <c r="BQ87" s="30"/>
      <c r="BR87" s="30"/>
      <c r="BS87" s="30"/>
      <c r="BT87" s="30"/>
      <c r="BU87" s="30"/>
      <c r="CG87" s="405" t="s">
        <v>162</v>
      </c>
      <c r="CH87" s="406"/>
      <c r="CI87" s="406"/>
      <c r="CJ87" s="406"/>
      <c r="CK87" s="406"/>
      <c r="CL87" s="406"/>
      <c r="CM87" s="406"/>
      <c r="CN87" s="406"/>
      <c r="CO87" s="406"/>
      <c r="CP87" s="406"/>
      <c r="CQ87" s="406"/>
      <c r="CR87" s="406"/>
      <c r="CS87" s="406"/>
      <c r="CT87" s="406"/>
      <c r="CU87" s="406"/>
      <c r="CV87" s="406"/>
      <c r="CW87" s="407"/>
    </row>
    <row r="88" spans="2:103" ht="15" customHeight="1" x14ac:dyDescent="0.2">
      <c r="B88" s="5"/>
      <c r="C88" s="5"/>
      <c r="D88" s="5"/>
      <c r="E88" s="5"/>
      <c r="J88" s="5"/>
      <c r="K88" s="5"/>
      <c r="L88" s="5"/>
      <c r="M88" s="5"/>
      <c r="N88" s="5"/>
      <c r="O88" s="5"/>
      <c r="P88" s="448" t="s">
        <v>32</v>
      </c>
      <c r="Q88" s="449"/>
      <c r="R88" s="450">
        <v>310</v>
      </c>
      <c r="S88" s="451"/>
      <c r="T88" s="5"/>
      <c r="U88" s="5"/>
      <c r="V88" s="5"/>
      <c r="W88" s="19" t="s">
        <v>84</v>
      </c>
      <c r="X88" s="98">
        <v>36</v>
      </c>
      <c r="Y88" s="5"/>
      <c r="Z88" s="15" t="s">
        <v>86</v>
      </c>
      <c r="AA88" s="5"/>
      <c r="AB88" s="5"/>
      <c r="AC88" s="5"/>
      <c r="AD88" s="5"/>
      <c r="AE88" s="5"/>
      <c r="AF88" s="5"/>
      <c r="BL88" s="243"/>
      <c r="BM88" s="30"/>
      <c r="BN88" s="30"/>
      <c r="BO88" s="30"/>
      <c r="BP88" s="30"/>
      <c r="BQ88" s="30"/>
      <c r="BR88" s="30"/>
      <c r="BS88" s="30"/>
      <c r="BT88" s="30"/>
      <c r="BU88" s="30"/>
      <c r="CE88" s="405" t="s">
        <v>604</v>
      </c>
      <c r="CF88" s="407"/>
      <c r="CG88" s="405" t="s">
        <v>101</v>
      </c>
      <c r="CH88" s="406"/>
      <c r="CI88" s="407"/>
      <c r="CJ88" s="405" t="s">
        <v>165</v>
      </c>
      <c r="CK88" s="407"/>
      <c r="CL88" s="405" t="s">
        <v>166</v>
      </c>
      <c r="CM88" s="407"/>
      <c r="CN88" s="405" t="s">
        <v>167</v>
      </c>
      <c r="CO88" s="407"/>
      <c r="CP88" s="405" t="s">
        <v>168</v>
      </c>
      <c r="CQ88" s="407"/>
      <c r="CR88" s="405" t="s">
        <v>169</v>
      </c>
      <c r="CS88" s="407"/>
      <c r="CT88" s="405" t="s">
        <v>170</v>
      </c>
      <c r="CU88" s="407"/>
      <c r="CV88" s="405" t="s">
        <v>171</v>
      </c>
      <c r="CW88" s="407"/>
    </row>
    <row r="89" spans="2:103" ht="15" customHeight="1" x14ac:dyDescent="0.2">
      <c r="B89" s="5"/>
      <c r="C89" s="5"/>
      <c r="D89" s="5"/>
      <c r="E89" s="5"/>
      <c r="J89" s="5"/>
      <c r="K89" s="5"/>
      <c r="L89" s="5"/>
      <c r="M89" s="5"/>
      <c r="N89" s="5"/>
      <c r="O89" s="5"/>
      <c r="P89" s="448" t="s">
        <v>33</v>
      </c>
      <c r="Q89" s="449"/>
      <c r="R89" s="450">
        <v>335</v>
      </c>
      <c r="S89" s="451"/>
      <c r="T89" s="5"/>
      <c r="U89" s="5"/>
      <c r="V89" s="5"/>
      <c r="W89" s="5"/>
      <c r="X89" s="5"/>
      <c r="Y89" s="5"/>
      <c r="Z89" s="92" t="s">
        <v>87</v>
      </c>
      <c r="AA89" s="5"/>
      <c r="AB89" s="5"/>
      <c r="AC89" s="5"/>
      <c r="AD89" s="5"/>
      <c r="AE89" s="5"/>
      <c r="AF89" s="5"/>
      <c r="BL89" s="243"/>
      <c r="BM89" s="30"/>
      <c r="BN89" s="30"/>
      <c r="BO89" s="30"/>
      <c r="BP89" s="30"/>
      <c r="BQ89" s="30"/>
      <c r="BR89" s="30"/>
      <c r="BS89" s="30"/>
      <c r="BT89" s="30"/>
      <c r="BU89" s="30"/>
      <c r="CE89" s="405" t="s">
        <v>605</v>
      </c>
      <c r="CF89" s="407"/>
      <c r="CG89" s="649" t="s">
        <v>606</v>
      </c>
      <c r="CH89" s="650"/>
      <c r="CI89" s="651"/>
      <c r="CJ89" s="649" t="s">
        <v>220</v>
      </c>
      <c r="CK89" s="651"/>
      <c r="CL89" s="649" t="s">
        <v>607</v>
      </c>
      <c r="CM89" s="651"/>
      <c r="CN89" s="649" t="s">
        <v>608</v>
      </c>
      <c r="CO89" s="651"/>
      <c r="CP89" s="649" t="s">
        <v>609</v>
      </c>
      <c r="CQ89" s="651"/>
      <c r="CR89" s="649" t="s">
        <v>373</v>
      </c>
      <c r="CS89" s="651"/>
      <c r="CT89" s="649" t="s">
        <v>610</v>
      </c>
      <c r="CU89" s="651"/>
      <c r="CV89" s="649" t="s">
        <v>375</v>
      </c>
      <c r="CW89" s="651"/>
    </row>
    <row r="90" spans="2:103" ht="15" customHeight="1" x14ac:dyDescent="0.2">
      <c r="B90" s="5"/>
      <c r="C90" s="5"/>
      <c r="D90" s="5"/>
      <c r="E90" s="5"/>
      <c r="J90" s="5"/>
      <c r="K90" s="5"/>
      <c r="L90" s="5"/>
      <c r="M90" s="5"/>
      <c r="N90" s="5"/>
      <c r="O90" s="5"/>
      <c r="P90" s="448" t="s">
        <v>34</v>
      </c>
      <c r="Q90" s="449"/>
      <c r="R90" s="450">
        <v>380</v>
      </c>
      <c r="S90" s="451"/>
      <c r="T90" s="5"/>
      <c r="U90" s="463" t="s">
        <v>61</v>
      </c>
      <c r="V90" s="464"/>
      <c r="W90" s="465"/>
      <c r="X90" s="5"/>
      <c r="Y90" s="5"/>
      <c r="Z90" s="5"/>
      <c r="AA90" s="5"/>
      <c r="AB90" s="5"/>
      <c r="AC90" s="5"/>
      <c r="AD90" s="5"/>
      <c r="AE90" s="5"/>
      <c r="AF90" s="5"/>
      <c r="BL90" s="243"/>
      <c r="BM90" s="30"/>
      <c r="BN90" s="30"/>
      <c r="BO90" s="30"/>
      <c r="BP90" s="30"/>
      <c r="BQ90" s="30"/>
      <c r="BR90" s="30"/>
      <c r="BS90" s="30"/>
      <c r="BT90" s="30"/>
      <c r="BU90" s="30"/>
      <c r="CE90" s="405" t="s">
        <v>387</v>
      </c>
      <c r="CF90" s="407"/>
      <c r="CG90" s="401" t="s">
        <v>611</v>
      </c>
      <c r="CH90" s="402"/>
      <c r="CI90" s="403"/>
      <c r="CJ90" s="401" t="s">
        <v>286</v>
      </c>
      <c r="CK90" s="403"/>
      <c r="CL90" s="401" t="s">
        <v>612</v>
      </c>
      <c r="CM90" s="403"/>
      <c r="CN90" s="401" t="s">
        <v>613</v>
      </c>
      <c r="CO90" s="403"/>
      <c r="CP90" s="401" t="s">
        <v>614</v>
      </c>
      <c r="CQ90" s="403"/>
      <c r="CR90" s="401" t="s">
        <v>615</v>
      </c>
      <c r="CS90" s="403"/>
      <c r="CT90" s="645" t="s">
        <v>374</v>
      </c>
      <c r="CU90" s="646"/>
      <c r="CV90" s="401" t="s">
        <v>221</v>
      </c>
      <c r="CW90" s="403"/>
    </row>
    <row r="91" spans="2:103" ht="15" customHeight="1" x14ac:dyDescent="0.2">
      <c r="B91" s="5"/>
      <c r="C91" s="5"/>
      <c r="D91" s="5"/>
      <c r="E91" s="5"/>
      <c r="J91" s="5"/>
      <c r="K91" s="5"/>
      <c r="L91" s="5"/>
      <c r="M91" s="5"/>
      <c r="N91" s="5"/>
      <c r="O91" s="5"/>
      <c r="P91" s="448" t="s">
        <v>35</v>
      </c>
      <c r="Q91" s="449"/>
      <c r="R91" s="450">
        <v>420</v>
      </c>
      <c r="S91" s="451"/>
      <c r="T91" s="5"/>
      <c r="U91" s="466" t="s">
        <v>62</v>
      </c>
      <c r="V91" s="467"/>
      <c r="W91" s="468"/>
      <c r="X91" s="5"/>
      <c r="Y91" s="5" t="s">
        <v>291</v>
      </c>
      <c r="Z91" s="24" t="s">
        <v>635</v>
      </c>
      <c r="AA91" s="5"/>
      <c r="AB91" s="5"/>
      <c r="AC91" s="5"/>
      <c r="AD91" s="5"/>
      <c r="AE91" s="5"/>
      <c r="AF91" s="5"/>
      <c r="BL91" s="243"/>
      <c r="BM91" s="30"/>
      <c r="BN91" s="30"/>
      <c r="BO91" s="30"/>
      <c r="BP91" s="30"/>
      <c r="BQ91" s="30"/>
      <c r="BR91" s="30"/>
      <c r="BS91" s="30"/>
      <c r="BT91" s="30"/>
      <c r="BU91" s="30"/>
      <c r="CE91" s="405" t="s">
        <v>616</v>
      </c>
      <c r="CF91" s="407"/>
      <c r="CG91" s="405" t="s">
        <v>594</v>
      </c>
      <c r="CH91" s="406"/>
      <c r="CI91" s="407"/>
      <c r="CJ91" s="405" t="s">
        <v>220</v>
      </c>
      <c r="CK91" s="407"/>
      <c r="CL91" s="405" t="s">
        <v>227</v>
      </c>
      <c r="CM91" s="407"/>
      <c r="CN91" s="405" t="s">
        <v>228</v>
      </c>
      <c r="CO91" s="407"/>
      <c r="CP91" s="405" t="s">
        <v>229</v>
      </c>
      <c r="CQ91" s="407"/>
      <c r="CR91" s="405" t="s">
        <v>230</v>
      </c>
      <c r="CS91" s="407"/>
      <c r="CT91" s="647" t="s">
        <v>231</v>
      </c>
      <c r="CU91" s="648"/>
      <c r="CV91" s="405" t="s">
        <v>221</v>
      </c>
      <c r="CW91" s="407"/>
    </row>
    <row r="92" spans="2:103" ht="15" customHeight="1" x14ac:dyDescent="0.2">
      <c r="B92" s="5"/>
      <c r="C92" s="5"/>
      <c r="D92" s="5"/>
      <c r="E92" s="5"/>
      <c r="J92" s="5"/>
      <c r="K92" s="5"/>
      <c r="L92" s="5"/>
      <c r="M92" s="5"/>
      <c r="N92" s="5"/>
      <c r="O92" s="5"/>
      <c r="P92" s="448" t="s">
        <v>36</v>
      </c>
      <c r="Q92" s="449"/>
      <c r="R92" s="450">
        <v>460</v>
      </c>
      <c r="S92" s="451"/>
      <c r="T92" s="5"/>
      <c r="U92" s="37" t="s">
        <v>74</v>
      </c>
      <c r="V92" s="195" t="s">
        <v>75</v>
      </c>
      <c r="W92" s="37" t="s">
        <v>76</v>
      </c>
      <c r="X92" s="5"/>
      <c r="Y92" s="15" t="s">
        <v>636</v>
      </c>
      <c r="Z92" s="49" t="s">
        <v>637</v>
      </c>
      <c r="AA92" s="5"/>
      <c r="AB92" s="5"/>
      <c r="AC92" s="5"/>
      <c r="AD92" s="5"/>
      <c r="AE92" s="5"/>
      <c r="AF92" s="5"/>
      <c r="BL92" s="243"/>
      <c r="BM92" s="30"/>
      <c r="BN92" s="30"/>
      <c r="BO92" s="30"/>
      <c r="BP92" s="30"/>
      <c r="BQ92" s="30"/>
      <c r="BR92" s="30"/>
      <c r="BS92" s="30"/>
      <c r="BT92" s="30"/>
      <c r="BU92" s="30"/>
      <c r="CE92" s="405" t="s">
        <v>617</v>
      </c>
      <c r="CF92" s="407"/>
      <c r="CG92" s="405" t="s">
        <v>618</v>
      </c>
      <c r="CH92" s="406"/>
      <c r="CI92" s="407"/>
      <c r="CJ92" s="405" t="s">
        <v>471</v>
      </c>
      <c r="CK92" s="407"/>
      <c r="CL92" s="405" t="s">
        <v>619</v>
      </c>
      <c r="CM92" s="407"/>
      <c r="CN92" s="405" t="s">
        <v>620</v>
      </c>
      <c r="CO92" s="407"/>
      <c r="CP92" s="405" t="s">
        <v>621</v>
      </c>
      <c r="CQ92" s="407"/>
      <c r="CR92" s="405" t="s">
        <v>622</v>
      </c>
      <c r="CS92" s="407"/>
      <c r="CT92" s="647" t="s">
        <v>623</v>
      </c>
      <c r="CU92" s="648"/>
      <c r="CV92" s="405" t="s">
        <v>375</v>
      </c>
      <c r="CW92" s="407"/>
    </row>
    <row r="93" spans="2:103" ht="15" customHeight="1" x14ac:dyDescent="0.2">
      <c r="B93" s="5"/>
      <c r="C93" s="5"/>
      <c r="D93" s="5"/>
      <c r="E93" s="5"/>
      <c r="J93" s="5"/>
      <c r="K93" s="5"/>
      <c r="L93" s="5"/>
      <c r="M93" s="5"/>
      <c r="N93" s="5"/>
      <c r="O93" s="5"/>
      <c r="P93" s="448" t="s">
        <v>37</v>
      </c>
      <c r="Q93" s="449"/>
      <c r="R93" s="450">
        <v>475</v>
      </c>
      <c r="S93" s="451"/>
      <c r="T93" s="5"/>
      <c r="U93" s="16">
        <v>1</v>
      </c>
      <c r="V93" s="5">
        <v>0</v>
      </c>
      <c r="W93" s="16">
        <v>1</v>
      </c>
      <c r="X93" s="5"/>
      <c r="Y93" s="16" t="s">
        <v>389</v>
      </c>
      <c r="Z93" s="22" t="s">
        <v>638</v>
      </c>
      <c r="AA93" s="5"/>
      <c r="AB93" s="5"/>
      <c r="AC93" s="5"/>
      <c r="AD93" s="5"/>
      <c r="AE93" s="5"/>
      <c r="AF93" s="5"/>
      <c r="BL93" s="243"/>
      <c r="BM93" s="30"/>
      <c r="BN93" s="30"/>
      <c r="BO93" s="30"/>
      <c r="BP93" s="30"/>
      <c r="BQ93" s="30"/>
      <c r="BR93" s="30"/>
      <c r="BS93" s="30"/>
      <c r="BT93" s="30"/>
      <c r="BU93" s="30"/>
      <c r="CE93" s="405" t="s">
        <v>617</v>
      </c>
      <c r="CF93" s="407"/>
      <c r="CG93" s="405" t="s">
        <v>624</v>
      </c>
      <c r="CH93" s="406"/>
      <c r="CI93" s="407"/>
      <c r="CJ93" s="405" t="s">
        <v>233</v>
      </c>
      <c r="CK93" s="407"/>
      <c r="CL93" s="405" t="s">
        <v>625</v>
      </c>
      <c r="CM93" s="407"/>
      <c r="CN93" s="405" t="s">
        <v>626</v>
      </c>
      <c r="CO93" s="407"/>
      <c r="CP93" s="405" t="s">
        <v>627</v>
      </c>
      <c r="CQ93" s="407"/>
      <c r="CR93" s="405" t="s">
        <v>628</v>
      </c>
      <c r="CS93" s="407"/>
      <c r="CT93" s="647" t="s">
        <v>629</v>
      </c>
      <c r="CU93" s="648"/>
      <c r="CV93" s="405" t="s">
        <v>375</v>
      </c>
      <c r="CW93" s="407"/>
    </row>
    <row r="94" spans="2:103" ht="15" customHeight="1" x14ac:dyDescent="0.2">
      <c r="B94" s="5"/>
      <c r="C94" s="5"/>
      <c r="D94" s="5"/>
      <c r="E94" s="5"/>
      <c r="J94" s="5"/>
      <c r="K94" s="5"/>
      <c r="L94" s="5"/>
      <c r="M94" s="5"/>
      <c r="N94" s="5"/>
      <c r="O94" s="5"/>
      <c r="P94" s="448" t="s">
        <v>38</v>
      </c>
      <c r="Q94" s="449"/>
      <c r="R94" s="450">
        <v>490</v>
      </c>
      <c r="S94" s="451"/>
      <c r="T94" s="5"/>
      <c r="U94" s="16">
        <v>1.5</v>
      </c>
      <c r="V94" s="5">
        <v>1.1000000000000001</v>
      </c>
      <c r="W94" s="16">
        <v>1.5</v>
      </c>
      <c r="X94" s="5"/>
      <c r="Y94" s="16" t="s">
        <v>390</v>
      </c>
      <c r="Z94" s="22" t="s">
        <v>639</v>
      </c>
      <c r="AA94" s="5"/>
      <c r="AB94" s="5"/>
      <c r="AC94" s="5"/>
      <c r="AD94" s="5"/>
      <c r="AE94" s="5"/>
      <c r="AF94" s="5"/>
      <c r="BL94" s="243"/>
      <c r="BM94" s="30"/>
      <c r="BN94" s="30"/>
      <c r="BO94" s="30"/>
      <c r="BP94" s="30"/>
      <c r="BQ94" s="30"/>
      <c r="BR94" s="30"/>
      <c r="BS94" s="30"/>
      <c r="BT94" s="30"/>
      <c r="BU94" s="30"/>
      <c r="CE94" s="405" t="s">
        <v>617</v>
      </c>
      <c r="CF94" s="407"/>
      <c r="CG94" s="405" t="s">
        <v>630</v>
      </c>
      <c r="CH94" s="406"/>
      <c r="CI94" s="407"/>
      <c r="CJ94" s="405" t="s">
        <v>220</v>
      </c>
      <c r="CK94" s="407"/>
      <c r="CL94" s="405" t="s">
        <v>631</v>
      </c>
      <c r="CM94" s="407"/>
      <c r="CN94" s="405" t="s">
        <v>632</v>
      </c>
      <c r="CO94" s="407"/>
      <c r="CP94" s="405" t="s">
        <v>633</v>
      </c>
      <c r="CQ94" s="407"/>
      <c r="CR94" s="405" t="s">
        <v>634</v>
      </c>
      <c r="CS94" s="407"/>
      <c r="CT94" s="647" t="s">
        <v>374</v>
      </c>
      <c r="CU94" s="648"/>
      <c r="CV94" s="405" t="s">
        <v>94</v>
      </c>
      <c r="CW94" s="407"/>
    </row>
    <row r="95" spans="2:103" ht="15" customHeight="1" x14ac:dyDescent="0.2">
      <c r="B95" s="5"/>
      <c r="C95" s="5"/>
      <c r="D95" s="5"/>
      <c r="E95" s="5"/>
      <c r="J95" s="5"/>
      <c r="K95" s="5"/>
      <c r="L95" s="5"/>
      <c r="M95" s="5"/>
      <c r="N95" s="5"/>
      <c r="O95" s="5"/>
      <c r="P95" s="448" t="s">
        <v>39</v>
      </c>
      <c r="Q95" s="449"/>
      <c r="R95" s="450">
        <v>520</v>
      </c>
      <c r="S95" s="451"/>
      <c r="T95" s="5"/>
      <c r="U95" s="16">
        <v>2</v>
      </c>
      <c r="V95" s="5">
        <v>1.6</v>
      </c>
      <c r="W95" s="16">
        <v>2</v>
      </c>
      <c r="X95" s="5"/>
      <c r="Y95" s="16" t="s">
        <v>388</v>
      </c>
      <c r="Z95" s="5" t="s">
        <v>94</v>
      </c>
      <c r="AA95" s="5"/>
      <c r="AB95" s="5"/>
      <c r="AC95" s="5"/>
      <c r="AD95" s="5"/>
      <c r="AE95" s="5"/>
      <c r="AF95" s="5"/>
      <c r="BL95" s="243"/>
      <c r="BM95" s="30"/>
      <c r="BN95" s="30"/>
      <c r="BO95" s="30"/>
      <c r="BP95" s="30"/>
      <c r="BQ95" s="30"/>
      <c r="BR95" s="30"/>
      <c r="BS95" s="30"/>
      <c r="BT95" s="30"/>
      <c r="BU95" s="30"/>
      <c r="CE95" s="405" t="s">
        <v>616</v>
      </c>
      <c r="CF95" s="407"/>
      <c r="CG95" s="405" t="s">
        <v>263</v>
      </c>
      <c r="CH95" s="406"/>
      <c r="CI95" s="407"/>
      <c r="CJ95" s="405" t="s">
        <v>220</v>
      </c>
      <c r="CK95" s="407"/>
      <c r="CL95" s="405" t="s">
        <v>227</v>
      </c>
      <c r="CM95" s="407"/>
      <c r="CN95" s="405" t="s">
        <v>228</v>
      </c>
      <c r="CO95" s="407"/>
      <c r="CP95" s="405" t="s">
        <v>229</v>
      </c>
      <c r="CQ95" s="407"/>
      <c r="CR95" s="405" t="s">
        <v>230</v>
      </c>
      <c r="CS95" s="407"/>
      <c r="CT95" s="647" t="s">
        <v>231</v>
      </c>
      <c r="CU95" s="648"/>
      <c r="CV95" s="405" t="s">
        <v>221</v>
      </c>
      <c r="CW95" s="407"/>
    </row>
    <row r="96" spans="2:103" ht="15" customHeight="1" x14ac:dyDescent="0.2">
      <c r="B96" s="5"/>
      <c r="C96" s="5"/>
      <c r="D96" s="5"/>
      <c r="E96" s="5"/>
      <c r="J96" s="5"/>
      <c r="K96" s="5"/>
      <c r="L96" s="5"/>
      <c r="M96" s="5"/>
      <c r="N96" s="5"/>
      <c r="O96" s="5"/>
      <c r="P96" s="448" t="s">
        <v>40</v>
      </c>
      <c r="Q96" s="449"/>
      <c r="R96" s="450">
        <v>545</v>
      </c>
      <c r="S96" s="451"/>
      <c r="T96" s="5"/>
      <c r="U96" s="16">
        <v>3</v>
      </c>
      <c r="V96" s="5">
        <v>2.1</v>
      </c>
      <c r="W96" s="16">
        <v>3</v>
      </c>
      <c r="X96" s="5"/>
      <c r="Y96" s="16" t="s">
        <v>92</v>
      </c>
      <c r="Z96" s="5" t="s">
        <v>94</v>
      </c>
      <c r="AA96" s="5"/>
      <c r="AB96" s="5"/>
      <c r="AC96" s="5"/>
      <c r="AD96" s="5"/>
      <c r="AE96" s="5"/>
      <c r="AF96" s="5"/>
      <c r="BL96" s="243"/>
      <c r="BM96" s="30"/>
      <c r="BN96" s="30"/>
      <c r="BO96" s="30"/>
      <c r="BP96" s="30"/>
      <c r="BQ96" s="30"/>
      <c r="BR96" s="30"/>
      <c r="BS96" s="30"/>
      <c r="BT96" s="30"/>
      <c r="BU96" s="30"/>
      <c r="CE96" s="405" t="s">
        <v>616</v>
      </c>
      <c r="CF96" s="407"/>
      <c r="CG96" s="401" t="s">
        <v>264</v>
      </c>
      <c r="CH96" s="402"/>
      <c r="CI96" s="403"/>
      <c r="CJ96" s="401" t="s">
        <v>233</v>
      </c>
      <c r="CK96" s="403"/>
      <c r="CL96" s="401" t="s">
        <v>265</v>
      </c>
      <c r="CM96" s="403"/>
      <c r="CN96" s="401" t="s">
        <v>266</v>
      </c>
      <c r="CO96" s="403"/>
      <c r="CP96" s="401" t="s">
        <v>267</v>
      </c>
      <c r="CQ96" s="403"/>
      <c r="CR96" s="401" t="s">
        <v>268</v>
      </c>
      <c r="CS96" s="403"/>
      <c r="CT96" s="645" t="s">
        <v>269</v>
      </c>
      <c r="CU96" s="646"/>
      <c r="CV96" s="401" t="s">
        <v>221</v>
      </c>
      <c r="CW96" s="403"/>
    </row>
    <row r="97" spans="2:101" ht="15" customHeight="1" x14ac:dyDescent="0.2">
      <c r="B97" s="5"/>
      <c r="C97" s="5"/>
      <c r="D97" s="5"/>
      <c r="E97" s="5"/>
      <c r="J97" s="5"/>
      <c r="K97" s="5"/>
      <c r="L97" s="5"/>
      <c r="M97" s="5"/>
      <c r="N97" s="5"/>
      <c r="O97" s="5"/>
      <c r="P97" s="448" t="s">
        <v>68</v>
      </c>
      <c r="Q97" s="449"/>
      <c r="R97" s="450">
        <v>590</v>
      </c>
      <c r="S97" s="451"/>
      <c r="T97" s="5"/>
      <c r="U97" s="16">
        <v>5</v>
      </c>
      <c r="V97" s="5">
        <v>3.1</v>
      </c>
      <c r="W97" s="16">
        <v>5</v>
      </c>
      <c r="X97" s="5"/>
      <c r="Y97" s="92" t="s">
        <v>640</v>
      </c>
      <c r="Z97" s="5" t="s">
        <v>94</v>
      </c>
      <c r="AA97" s="5"/>
      <c r="AB97" s="5"/>
      <c r="AC97" s="5"/>
      <c r="AD97" s="5"/>
      <c r="AE97" s="5"/>
      <c r="AF97" s="5"/>
      <c r="BL97" s="243"/>
      <c r="BM97" s="30"/>
      <c r="BN97" s="30"/>
      <c r="BO97" s="30"/>
      <c r="BP97" s="30"/>
      <c r="BQ97" s="30"/>
      <c r="BR97" s="30"/>
      <c r="BS97" s="30"/>
      <c r="BT97" s="30"/>
      <c r="BU97" s="30"/>
      <c r="CE97" s="405" t="s">
        <v>616</v>
      </c>
      <c r="CF97" s="407"/>
      <c r="CG97" s="401" t="s">
        <v>285</v>
      </c>
      <c r="CH97" s="402"/>
      <c r="CI97" s="403"/>
      <c r="CJ97" s="401" t="s">
        <v>286</v>
      </c>
      <c r="CK97" s="403"/>
      <c r="CL97" s="401" t="s">
        <v>266</v>
      </c>
      <c r="CM97" s="403"/>
      <c r="CN97" s="401" t="s">
        <v>287</v>
      </c>
      <c r="CO97" s="403"/>
      <c r="CP97" s="401" t="s">
        <v>288</v>
      </c>
      <c r="CQ97" s="403"/>
      <c r="CR97" s="401" t="s">
        <v>289</v>
      </c>
      <c r="CS97" s="403"/>
      <c r="CT97" s="645" t="s">
        <v>231</v>
      </c>
      <c r="CU97" s="646"/>
      <c r="CV97" s="401" t="s">
        <v>221</v>
      </c>
      <c r="CW97" s="403"/>
    </row>
    <row r="98" spans="2:101" ht="15" customHeight="1" x14ac:dyDescent="0.2">
      <c r="B98" s="5"/>
      <c r="C98" s="5"/>
      <c r="D98" s="5"/>
      <c r="E98" s="5"/>
      <c r="J98" s="5"/>
      <c r="K98" s="5"/>
      <c r="L98" s="5"/>
      <c r="M98" s="5"/>
      <c r="N98" s="5"/>
      <c r="O98" s="5"/>
      <c r="P98" s="448" t="s">
        <v>69</v>
      </c>
      <c r="Q98" s="449"/>
      <c r="R98" s="450">
        <v>625</v>
      </c>
      <c r="S98" s="451"/>
      <c r="T98" s="5"/>
      <c r="U98" s="16">
        <v>7.5</v>
      </c>
      <c r="V98" s="5">
        <v>5.0999999999999996</v>
      </c>
      <c r="W98" s="16">
        <v>7.5</v>
      </c>
      <c r="X98" s="5"/>
      <c r="Y98" s="5"/>
      <c r="Z98" s="5"/>
      <c r="AA98" s="5"/>
      <c r="AB98" s="5"/>
      <c r="AC98" s="5"/>
      <c r="AD98" s="5"/>
      <c r="AE98" s="5"/>
      <c r="AF98" s="5"/>
      <c r="BL98" s="243"/>
      <c r="BM98" s="30"/>
      <c r="BN98" s="30"/>
      <c r="BO98" s="30"/>
      <c r="BP98" s="30"/>
      <c r="BQ98" s="30"/>
      <c r="BR98" s="30"/>
      <c r="BS98" s="30"/>
      <c r="BT98" s="30"/>
      <c r="BU98" s="30"/>
    </row>
    <row r="99" spans="2:101" ht="15" customHeight="1" x14ac:dyDescent="0.2">
      <c r="B99" s="5"/>
      <c r="C99" s="5"/>
      <c r="D99" s="5"/>
      <c r="E99" s="5"/>
      <c r="J99" s="5"/>
      <c r="K99" s="5"/>
      <c r="L99" s="5"/>
      <c r="M99" s="5"/>
      <c r="N99" s="5"/>
      <c r="O99" s="5"/>
      <c r="P99" s="448" t="s">
        <v>70</v>
      </c>
      <c r="Q99" s="449"/>
      <c r="R99" s="450">
        <v>650</v>
      </c>
      <c r="S99" s="451"/>
      <c r="T99" s="5"/>
      <c r="U99" s="16">
        <v>10</v>
      </c>
      <c r="V99" s="5">
        <v>7.6</v>
      </c>
      <c r="W99" s="16">
        <v>10</v>
      </c>
      <c r="X99" s="5"/>
      <c r="Y99" s="5"/>
      <c r="Z99" s="5"/>
      <c r="AA99" s="5"/>
      <c r="AB99" s="5"/>
      <c r="AC99" s="5"/>
      <c r="AD99" s="5"/>
      <c r="AE99" s="5"/>
      <c r="AF99" s="5"/>
      <c r="BL99" s="243"/>
      <c r="BM99" s="30"/>
      <c r="BN99" s="30"/>
      <c r="BO99" s="30"/>
      <c r="BP99" s="30"/>
      <c r="BQ99" s="30"/>
      <c r="BR99" s="30"/>
      <c r="BS99" s="30"/>
      <c r="BT99" s="30"/>
      <c r="BU99" s="30"/>
    </row>
    <row r="100" spans="2:101" ht="15" customHeight="1" x14ac:dyDescent="0.2">
      <c r="B100" s="5"/>
      <c r="C100" s="5"/>
      <c r="D100" s="5"/>
      <c r="E100" s="5"/>
      <c r="J100" s="5"/>
      <c r="K100" s="5"/>
      <c r="L100" s="5"/>
      <c r="M100" s="5"/>
      <c r="N100" s="5"/>
      <c r="O100" s="5"/>
      <c r="P100" s="452">
        <v>2000</v>
      </c>
      <c r="Q100" s="452"/>
      <c r="R100" s="452">
        <v>665</v>
      </c>
      <c r="S100" s="452"/>
      <c r="T100" s="5"/>
      <c r="U100" s="16">
        <v>15</v>
      </c>
      <c r="V100" s="5">
        <v>10.1</v>
      </c>
      <c r="W100" s="16">
        <v>15</v>
      </c>
      <c r="X100" s="5"/>
      <c r="Y100" s="5"/>
      <c r="Z100" s="5"/>
      <c r="AA100" s="5"/>
      <c r="AB100" s="5"/>
      <c r="AC100" s="5"/>
      <c r="AD100" s="5"/>
      <c r="AE100" s="5"/>
      <c r="AF100" s="5"/>
      <c r="BL100" s="243"/>
      <c r="BM100" s="30"/>
      <c r="BN100" s="30"/>
      <c r="BO100" s="30"/>
      <c r="BP100" s="30"/>
      <c r="BQ100" s="30"/>
      <c r="BR100" s="30"/>
      <c r="BS100" s="30"/>
      <c r="BT100" s="30"/>
      <c r="BU100" s="30"/>
    </row>
    <row r="101" spans="2:101" ht="15" customHeight="1" x14ac:dyDescent="0.2">
      <c r="B101" s="5"/>
      <c r="C101" s="5"/>
      <c r="D101" s="5"/>
      <c r="E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16">
        <v>25</v>
      </c>
      <c r="V101" s="5">
        <v>15.1</v>
      </c>
      <c r="W101" s="16">
        <v>25</v>
      </c>
      <c r="X101" s="5"/>
      <c r="Y101" s="5"/>
      <c r="Z101" s="5"/>
      <c r="AA101" s="5"/>
      <c r="AB101" s="5"/>
      <c r="AC101" s="5"/>
      <c r="AD101" s="5"/>
      <c r="AE101" s="5"/>
      <c r="AF101" s="5"/>
      <c r="BL101" s="243"/>
      <c r="BM101" s="30"/>
      <c r="BN101" s="30"/>
      <c r="BO101" s="30"/>
      <c r="BP101" s="30"/>
      <c r="BQ101" s="30"/>
      <c r="BR101" s="30"/>
      <c r="BS101" s="30"/>
      <c r="BT101" s="30"/>
      <c r="BU101" s="30"/>
    </row>
    <row r="102" spans="2:101" ht="15" customHeight="1" x14ac:dyDescent="0.2">
      <c r="B102" s="5"/>
      <c r="C102" s="5"/>
      <c r="D102" s="5"/>
      <c r="E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16">
        <v>37.5</v>
      </c>
      <c r="V102" s="5">
        <v>25.1</v>
      </c>
      <c r="W102" s="16">
        <v>37.5</v>
      </c>
      <c r="X102" s="5"/>
      <c r="Y102" s="5"/>
      <c r="Z102" s="5"/>
      <c r="AA102" s="5"/>
      <c r="AB102" s="5"/>
      <c r="AC102" s="5"/>
      <c r="AD102" s="5"/>
      <c r="AE102" s="5"/>
      <c r="AF102" s="5"/>
      <c r="BL102" s="243"/>
      <c r="BM102" s="30"/>
      <c r="BN102" s="30"/>
      <c r="BO102" s="30"/>
      <c r="BP102" s="30"/>
      <c r="BQ102" s="30"/>
      <c r="BR102" s="30"/>
      <c r="BS102" s="30"/>
      <c r="BT102" s="30"/>
      <c r="BU102" s="30"/>
    </row>
    <row r="103" spans="2:101" ht="15" customHeight="1" x14ac:dyDescent="0.2">
      <c r="B103" s="5"/>
      <c r="C103" s="5"/>
      <c r="D103" s="5"/>
      <c r="E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16">
        <v>50</v>
      </c>
      <c r="V103" s="5">
        <v>37.6</v>
      </c>
      <c r="W103" s="16">
        <v>50</v>
      </c>
      <c r="X103" s="5"/>
      <c r="Y103" s="5"/>
      <c r="Z103" s="5"/>
      <c r="AA103" s="5"/>
      <c r="AB103" s="5"/>
      <c r="AC103" s="5"/>
      <c r="AD103" s="5"/>
      <c r="AE103" s="5"/>
      <c r="AF103" s="5"/>
      <c r="BL103" s="243"/>
      <c r="BM103" s="30"/>
      <c r="BN103" s="30"/>
      <c r="BO103" s="30"/>
      <c r="BP103" s="30"/>
      <c r="BQ103" s="30"/>
      <c r="BR103" s="30"/>
      <c r="BS103" s="30"/>
      <c r="BT103" s="30"/>
      <c r="BU103" s="30"/>
    </row>
    <row r="104" spans="2:101" ht="15" customHeight="1" x14ac:dyDescent="0.2">
      <c r="B104" s="5"/>
      <c r="C104" s="5"/>
      <c r="D104" s="5"/>
      <c r="E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16">
        <v>75</v>
      </c>
      <c r="V104" s="5">
        <v>50.1</v>
      </c>
      <c r="W104" s="16">
        <v>75</v>
      </c>
      <c r="X104" s="5"/>
      <c r="Y104" s="5"/>
      <c r="Z104" s="5"/>
      <c r="AA104" s="5"/>
      <c r="AB104" s="5"/>
      <c r="AC104" s="5"/>
      <c r="AD104" s="5"/>
      <c r="AE104" s="5"/>
      <c r="AF104" s="5"/>
      <c r="BL104" s="243"/>
      <c r="BM104" s="30"/>
      <c r="BN104" s="30"/>
      <c r="BO104" s="30"/>
      <c r="BP104" s="30"/>
      <c r="BQ104" s="30"/>
      <c r="BR104" s="30"/>
      <c r="BS104" s="30"/>
      <c r="BT104" s="30"/>
      <c r="BU104" s="30"/>
    </row>
    <row r="105" spans="2:101" ht="15" customHeight="1" x14ac:dyDescent="0.2">
      <c r="B105" s="5"/>
      <c r="C105" s="5"/>
      <c r="D105" s="5"/>
      <c r="E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16">
        <v>100</v>
      </c>
      <c r="V105" s="5">
        <v>75.099999999999994</v>
      </c>
      <c r="W105" s="16">
        <v>100</v>
      </c>
      <c r="X105" s="5"/>
      <c r="Y105" s="5"/>
      <c r="Z105" s="5"/>
      <c r="AA105" s="5"/>
      <c r="AB105" s="5"/>
      <c r="AC105" s="5"/>
      <c r="AD105" s="5"/>
      <c r="AE105" s="5"/>
      <c r="AF105" s="5"/>
      <c r="BL105" s="243"/>
      <c r="BM105" s="30"/>
      <c r="BN105" s="30"/>
      <c r="BO105" s="30"/>
      <c r="BP105" s="30"/>
      <c r="BQ105" s="30"/>
      <c r="BR105" s="30"/>
      <c r="BS105" s="30"/>
      <c r="BT105" s="30"/>
      <c r="BU105" s="30"/>
    </row>
    <row r="106" spans="2:101" ht="15" customHeight="1" x14ac:dyDescent="0.2">
      <c r="B106" s="5"/>
      <c r="C106" s="5"/>
      <c r="D106" s="5"/>
      <c r="E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16">
        <v>167</v>
      </c>
      <c r="V106" s="5">
        <v>100.1</v>
      </c>
      <c r="W106" s="16">
        <v>167</v>
      </c>
      <c r="X106" s="5"/>
      <c r="Y106" s="5"/>
      <c r="Z106" s="5"/>
      <c r="AA106" s="5"/>
      <c r="AB106" s="5"/>
      <c r="AC106" s="5"/>
      <c r="AD106" s="5"/>
      <c r="AE106" s="5"/>
      <c r="AF106" s="5"/>
      <c r="BL106" s="243"/>
      <c r="BM106" s="30"/>
      <c r="BN106" s="30"/>
      <c r="BO106" s="30"/>
      <c r="BP106" s="30"/>
      <c r="BQ106" s="30"/>
      <c r="BR106" s="30"/>
      <c r="BS106" s="30"/>
      <c r="BT106" s="30"/>
      <c r="BU106" s="30"/>
    </row>
    <row r="107" spans="2:101" ht="15" customHeight="1" x14ac:dyDescent="0.2">
      <c r="B107" s="5"/>
      <c r="C107" s="5"/>
      <c r="D107" s="5"/>
      <c r="E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16">
        <v>200</v>
      </c>
      <c r="V107" s="5">
        <v>167.1</v>
      </c>
      <c r="W107" s="16">
        <v>200</v>
      </c>
      <c r="X107" s="5"/>
      <c r="Y107" s="5"/>
      <c r="Z107" s="5"/>
      <c r="AA107" s="5"/>
      <c r="AB107" s="5"/>
      <c r="AC107" s="5"/>
      <c r="AD107" s="5"/>
      <c r="AE107" s="5"/>
      <c r="AF107" s="5"/>
      <c r="BL107" s="243"/>
      <c r="BM107" s="30"/>
      <c r="BN107" s="30"/>
      <c r="BO107" s="30"/>
      <c r="BP107" s="30"/>
      <c r="BQ107" s="30"/>
      <c r="BR107" s="30"/>
      <c r="BS107" s="30"/>
      <c r="BT107" s="30"/>
      <c r="BU107" s="30"/>
    </row>
    <row r="108" spans="2:101" ht="15" customHeight="1" x14ac:dyDescent="0.2">
      <c r="B108" s="5"/>
      <c r="C108" s="5"/>
      <c r="D108" s="5"/>
      <c r="E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16">
        <v>250</v>
      </c>
      <c r="V108" s="5">
        <v>200.1</v>
      </c>
      <c r="W108" s="16">
        <v>250</v>
      </c>
      <c r="X108" s="5"/>
      <c r="Y108" s="5"/>
      <c r="Z108" s="5"/>
      <c r="AA108" s="5"/>
      <c r="AB108" s="5"/>
      <c r="AC108" s="5"/>
      <c r="AD108" s="5"/>
      <c r="AE108" s="5"/>
      <c r="AF108" s="5"/>
      <c r="BL108" s="243"/>
      <c r="BM108" s="30"/>
      <c r="BN108" s="30"/>
      <c r="BO108" s="30"/>
      <c r="BP108" s="30"/>
      <c r="BQ108" s="30"/>
      <c r="BR108" s="30"/>
      <c r="BS108" s="30"/>
      <c r="BT108" s="30"/>
      <c r="BU108" s="30"/>
    </row>
    <row r="109" spans="2:101" ht="15" customHeight="1" x14ac:dyDescent="0.2">
      <c r="B109" s="5"/>
      <c r="C109" s="5"/>
      <c r="D109" s="5"/>
      <c r="E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92">
        <v>333</v>
      </c>
      <c r="V109" s="63">
        <v>250.1</v>
      </c>
      <c r="W109" s="92">
        <v>333</v>
      </c>
      <c r="X109" s="5"/>
      <c r="Y109" s="5"/>
      <c r="Z109" s="5"/>
      <c r="AA109" s="5"/>
      <c r="AB109" s="5"/>
      <c r="AC109" s="5"/>
      <c r="AD109" s="5"/>
      <c r="AE109" s="5"/>
      <c r="AF109" s="5"/>
      <c r="BL109" s="243"/>
      <c r="BM109" s="30"/>
      <c r="BN109" s="30"/>
      <c r="BO109" s="30"/>
      <c r="BP109" s="30"/>
      <c r="BQ109" s="30"/>
      <c r="BR109" s="30"/>
      <c r="BS109" s="30"/>
      <c r="BT109" s="30"/>
      <c r="BU109" s="30"/>
    </row>
    <row r="110" spans="2:101" ht="15" customHeight="1" x14ac:dyDescent="0.2">
      <c r="B110" s="5"/>
      <c r="C110" s="5"/>
      <c r="D110" s="5"/>
      <c r="E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BL110" s="243"/>
      <c r="BM110" s="30"/>
      <c r="BN110" s="30"/>
      <c r="BO110" s="30"/>
      <c r="BP110" s="30"/>
      <c r="BQ110" s="30"/>
      <c r="BR110" s="30"/>
      <c r="BS110" s="30"/>
      <c r="BT110" s="30"/>
      <c r="BU110" s="30"/>
    </row>
    <row r="111" spans="2:101" ht="15" customHeight="1" x14ac:dyDescent="0.2">
      <c r="B111" s="5"/>
      <c r="C111" s="5"/>
      <c r="D111" s="5"/>
      <c r="E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461" t="s">
        <v>63</v>
      </c>
      <c r="V111" s="461"/>
      <c r="W111" s="461"/>
      <c r="X111" s="5"/>
      <c r="Y111" s="15" t="s">
        <v>115</v>
      </c>
      <c r="Z111" s="5"/>
      <c r="AA111" s="5"/>
      <c r="AB111" s="5"/>
      <c r="AC111" s="5"/>
      <c r="AD111" s="5"/>
      <c r="AE111" s="5"/>
      <c r="AF111" s="5"/>
      <c r="BL111" s="243"/>
      <c r="BM111" s="30"/>
      <c r="BN111" s="30"/>
      <c r="BO111" s="30"/>
      <c r="BP111" s="30"/>
      <c r="BQ111" s="30"/>
      <c r="BR111" s="30"/>
      <c r="BS111" s="30"/>
      <c r="BT111" s="30"/>
      <c r="BU111" s="30"/>
    </row>
    <row r="112" spans="2:101" ht="15" customHeight="1" x14ac:dyDescent="0.2">
      <c r="B112" s="5"/>
      <c r="C112" s="5"/>
      <c r="D112" s="5"/>
      <c r="E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37" t="s">
        <v>74</v>
      </c>
      <c r="V112" s="37" t="s">
        <v>77</v>
      </c>
      <c r="W112" s="37" t="s">
        <v>76</v>
      </c>
      <c r="X112" s="5"/>
      <c r="Y112" s="16" t="s">
        <v>58</v>
      </c>
      <c r="Z112" s="5"/>
      <c r="AA112" s="5"/>
      <c r="AB112" s="5"/>
      <c r="AC112" s="5"/>
      <c r="AD112" s="5"/>
      <c r="AE112" s="5"/>
      <c r="AF112" s="5"/>
      <c r="BL112" s="243"/>
      <c r="BM112" s="30"/>
      <c r="BN112" s="30"/>
      <c r="BO112" s="30"/>
      <c r="BP112" s="30"/>
      <c r="BQ112" s="30"/>
      <c r="BR112" s="30"/>
      <c r="BS112" s="30"/>
      <c r="BT112" s="30"/>
      <c r="BU112" s="30"/>
    </row>
    <row r="113" spans="2:73" ht="15" customHeight="1" x14ac:dyDescent="0.2">
      <c r="B113" s="5"/>
      <c r="C113" s="5"/>
      <c r="D113" s="5"/>
      <c r="E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15">
        <v>3</v>
      </c>
      <c r="V113" s="15">
        <v>0</v>
      </c>
      <c r="W113" s="15">
        <v>3</v>
      </c>
      <c r="X113" s="5"/>
      <c r="Y113" s="16" t="s">
        <v>59</v>
      </c>
      <c r="Z113" s="5"/>
      <c r="AA113" s="5"/>
      <c r="AB113" s="5"/>
      <c r="AC113" s="5"/>
      <c r="AD113" s="5"/>
      <c r="AE113" s="5"/>
      <c r="AF113" s="5"/>
      <c r="BL113" s="243"/>
      <c r="BM113" s="30"/>
      <c r="BN113" s="30"/>
      <c r="BO113" s="30"/>
      <c r="BP113" s="30"/>
      <c r="BQ113" s="30"/>
      <c r="BR113" s="30"/>
      <c r="BS113" s="30"/>
      <c r="BT113" s="30"/>
      <c r="BU113" s="30"/>
    </row>
    <row r="114" spans="2:73" ht="15" customHeight="1" x14ac:dyDescent="0.2">
      <c r="B114" s="5"/>
      <c r="C114" s="5"/>
      <c r="D114" s="5"/>
      <c r="E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16"/>
      <c r="V114" s="16"/>
      <c r="W114" s="16"/>
      <c r="X114" s="5"/>
      <c r="Y114" s="16"/>
      <c r="Z114" s="5"/>
      <c r="AA114" s="5"/>
      <c r="AB114" s="5"/>
      <c r="AC114" s="5"/>
      <c r="AD114" s="5"/>
      <c r="AE114" s="5"/>
      <c r="AF114" s="5"/>
      <c r="BL114" s="243"/>
      <c r="BM114" s="30"/>
      <c r="BN114" s="30"/>
      <c r="BO114" s="30"/>
      <c r="BP114" s="30"/>
      <c r="BQ114" s="30"/>
      <c r="BR114" s="30"/>
      <c r="BS114" s="30"/>
      <c r="BT114" s="30"/>
      <c r="BU114" s="30"/>
    </row>
    <row r="115" spans="2:73" ht="15" customHeight="1" x14ac:dyDescent="0.2">
      <c r="B115" s="5"/>
      <c r="C115" s="5"/>
      <c r="D115" s="5"/>
      <c r="E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16"/>
      <c r="V115" s="16"/>
      <c r="W115" s="16"/>
      <c r="X115" s="5"/>
      <c r="Y115" s="92"/>
      <c r="Z115" s="5"/>
      <c r="AA115" s="5"/>
      <c r="AB115" s="5"/>
      <c r="AC115" s="5"/>
      <c r="AD115" s="5"/>
      <c r="AE115" s="5"/>
      <c r="AF115" s="5"/>
      <c r="BL115" s="243"/>
      <c r="BM115" s="30"/>
      <c r="BN115" s="30"/>
      <c r="BO115" s="30"/>
      <c r="BP115" s="30"/>
      <c r="BQ115" s="30"/>
      <c r="BR115" s="30"/>
      <c r="BS115" s="30"/>
      <c r="BT115" s="30"/>
      <c r="BU115" s="30"/>
    </row>
    <row r="116" spans="2:73" ht="15" customHeight="1" x14ac:dyDescent="0.2">
      <c r="B116" s="5"/>
      <c r="C116" s="5"/>
      <c r="D116" s="5"/>
      <c r="E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16"/>
      <c r="V116" s="16"/>
      <c r="W116" s="16"/>
      <c r="X116" s="5"/>
      <c r="Y116" s="5"/>
      <c r="Z116" s="5"/>
      <c r="AA116" s="5"/>
      <c r="AB116" s="5"/>
      <c r="AC116" s="5"/>
      <c r="AD116" s="5"/>
      <c r="AE116" s="5"/>
      <c r="AF116" s="5"/>
      <c r="BL116" s="243"/>
      <c r="BM116" s="30"/>
      <c r="BN116" s="30"/>
      <c r="BO116" s="30"/>
      <c r="BP116" s="30"/>
      <c r="BQ116" s="30"/>
      <c r="BR116" s="30"/>
      <c r="BS116" s="30"/>
      <c r="BT116" s="30"/>
      <c r="BU116" s="30"/>
    </row>
    <row r="117" spans="2:73" ht="15" customHeight="1" x14ac:dyDescent="0.2">
      <c r="B117" s="5"/>
      <c r="C117" s="5"/>
      <c r="D117" s="5"/>
      <c r="E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16"/>
      <c r="V117" s="16"/>
      <c r="W117" s="16"/>
      <c r="X117" s="5"/>
      <c r="Y117" s="5"/>
      <c r="Z117" s="5"/>
      <c r="AA117" s="5"/>
      <c r="AB117" s="5"/>
      <c r="AC117" s="5"/>
      <c r="AD117" s="5"/>
      <c r="AE117" s="5"/>
      <c r="AF117" s="5"/>
      <c r="BL117" s="243"/>
      <c r="BM117" s="30"/>
      <c r="BN117" s="30"/>
      <c r="BO117" s="30"/>
      <c r="BP117" s="30"/>
      <c r="BQ117" s="30"/>
      <c r="BR117" s="30"/>
      <c r="BS117" s="30"/>
      <c r="BT117" s="30"/>
      <c r="BU117" s="30"/>
    </row>
    <row r="118" spans="2:73" ht="15" customHeight="1" x14ac:dyDescent="0.2">
      <c r="B118" s="5"/>
      <c r="C118" s="5"/>
      <c r="D118" s="5"/>
      <c r="E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16"/>
      <c r="V118" s="16"/>
      <c r="W118" s="16"/>
      <c r="X118" s="5"/>
      <c r="Y118" s="5"/>
      <c r="Z118" s="5"/>
      <c r="AA118" s="5"/>
      <c r="AB118" s="5"/>
      <c r="AC118" s="5"/>
      <c r="AD118" s="5"/>
      <c r="AE118" s="5"/>
      <c r="AF118" s="5"/>
      <c r="BL118" s="243"/>
      <c r="BM118" s="30"/>
      <c r="BN118" s="30"/>
      <c r="BO118" s="30"/>
      <c r="BP118" s="30"/>
      <c r="BQ118" s="30"/>
      <c r="BR118" s="30"/>
      <c r="BS118" s="30"/>
      <c r="BT118" s="30"/>
      <c r="BU118" s="30"/>
    </row>
    <row r="119" spans="2:73" ht="15" customHeight="1" x14ac:dyDescent="0.2">
      <c r="B119" s="5"/>
      <c r="C119" s="5"/>
      <c r="D119" s="5"/>
      <c r="E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16"/>
      <c r="V119" s="16"/>
      <c r="W119" s="16"/>
      <c r="X119" s="5"/>
      <c r="Y119" s="5"/>
      <c r="Z119" s="5"/>
      <c r="AA119" s="5"/>
      <c r="AB119" s="5"/>
      <c r="AC119" s="5"/>
      <c r="AD119" s="5"/>
      <c r="AE119" s="5"/>
      <c r="AF119" s="5"/>
      <c r="BL119" s="243"/>
      <c r="BM119" s="30"/>
      <c r="BN119" s="30"/>
      <c r="BO119" s="30"/>
      <c r="BP119" s="30"/>
      <c r="BQ119" s="30"/>
      <c r="BR119" s="30"/>
      <c r="BS119" s="30"/>
      <c r="BT119" s="30"/>
      <c r="BU119" s="30"/>
    </row>
    <row r="120" spans="2:73" ht="15" customHeight="1" x14ac:dyDescent="0.2">
      <c r="B120" s="5"/>
      <c r="C120" s="5"/>
      <c r="D120" s="5"/>
      <c r="E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16"/>
      <c r="V120" s="16"/>
      <c r="W120" s="16"/>
      <c r="X120" s="5"/>
      <c r="Y120" s="5"/>
      <c r="Z120" s="5"/>
      <c r="AA120" s="5"/>
      <c r="AB120" s="5"/>
      <c r="AC120" s="5"/>
      <c r="AD120" s="5"/>
      <c r="AE120" s="5"/>
      <c r="AF120" s="5"/>
      <c r="BL120" s="243"/>
      <c r="BM120" s="30"/>
      <c r="BN120" s="30"/>
      <c r="BO120" s="30"/>
      <c r="BP120" s="30"/>
      <c r="BQ120" s="30"/>
      <c r="BR120" s="30"/>
      <c r="BS120" s="30"/>
      <c r="BT120" s="30"/>
      <c r="BU120" s="30"/>
    </row>
    <row r="121" spans="2:73" ht="15" customHeight="1" x14ac:dyDescent="0.2">
      <c r="B121" s="5"/>
      <c r="C121" s="5"/>
      <c r="D121" s="5"/>
      <c r="E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16"/>
      <c r="V121" s="16"/>
      <c r="W121" s="16"/>
      <c r="X121" s="5"/>
      <c r="Y121" s="5"/>
      <c r="Z121" s="5"/>
      <c r="AA121" s="5"/>
      <c r="AB121" s="5"/>
      <c r="AC121" s="5"/>
      <c r="AD121" s="5"/>
      <c r="AE121" s="5"/>
      <c r="AF121" s="5"/>
      <c r="BL121" s="243"/>
      <c r="BM121" s="30"/>
      <c r="BN121" s="30"/>
      <c r="BO121" s="30"/>
      <c r="BP121" s="30"/>
      <c r="BQ121" s="30"/>
      <c r="BR121" s="30"/>
      <c r="BS121" s="30"/>
      <c r="BT121" s="30"/>
      <c r="BU121" s="30"/>
    </row>
    <row r="122" spans="2:73" ht="15" customHeight="1" x14ac:dyDescent="0.2">
      <c r="B122" s="5"/>
      <c r="C122" s="5"/>
      <c r="D122" s="5"/>
      <c r="E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16"/>
      <c r="V122" s="16"/>
      <c r="W122" s="16"/>
      <c r="X122" s="5"/>
      <c r="Y122" s="5"/>
      <c r="Z122" s="5"/>
      <c r="AA122" s="5"/>
      <c r="AB122" s="5"/>
      <c r="AC122" s="5"/>
      <c r="AD122" s="5"/>
      <c r="AE122" s="5"/>
      <c r="AF122" s="5"/>
      <c r="BL122" s="243"/>
      <c r="BM122" s="30"/>
      <c r="BN122" s="30"/>
      <c r="BO122" s="30"/>
      <c r="BP122" s="30"/>
      <c r="BQ122" s="30"/>
      <c r="BR122" s="30"/>
      <c r="BS122" s="30"/>
      <c r="BT122" s="30"/>
      <c r="BU122" s="30"/>
    </row>
    <row r="123" spans="2:73" ht="15" customHeight="1" x14ac:dyDescent="0.2">
      <c r="B123" s="5"/>
      <c r="C123" s="5"/>
      <c r="D123" s="5"/>
      <c r="E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16"/>
      <c r="V123" s="16"/>
      <c r="W123" s="16"/>
      <c r="X123" s="5"/>
      <c r="Y123" s="5"/>
      <c r="Z123" s="5"/>
      <c r="AA123" s="5"/>
      <c r="AB123" s="5"/>
      <c r="AC123" s="5"/>
      <c r="AD123" s="5"/>
      <c r="AE123" s="5"/>
      <c r="AF123" s="5"/>
      <c r="BL123" s="243"/>
      <c r="BM123" s="30"/>
      <c r="BN123" s="30"/>
      <c r="BO123" s="30"/>
      <c r="BP123" s="30"/>
      <c r="BQ123" s="30"/>
    </row>
    <row r="124" spans="2:73" ht="15" customHeight="1" x14ac:dyDescent="0.2">
      <c r="B124" s="5"/>
      <c r="C124" s="5"/>
      <c r="D124" s="5"/>
      <c r="E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16"/>
      <c r="V124" s="16"/>
      <c r="W124" s="16"/>
      <c r="X124" s="5"/>
      <c r="Y124" s="5"/>
      <c r="Z124" s="5"/>
      <c r="AA124" s="5"/>
      <c r="AB124" s="5"/>
      <c r="AC124" s="5"/>
      <c r="AD124" s="5"/>
      <c r="AE124" s="5"/>
      <c r="AF124" s="5"/>
      <c r="BL124" s="243"/>
      <c r="BM124" s="30"/>
      <c r="BN124" s="30"/>
      <c r="BO124" s="30"/>
      <c r="BP124" s="30"/>
      <c r="BQ124" s="30"/>
    </row>
    <row r="125" spans="2:73" ht="15" customHeight="1" x14ac:dyDescent="0.2">
      <c r="B125" s="5"/>
      <c r="C125" s="5"/>
      <c r="D125" s="5"/>
      <c r="E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16"/>
      <c r="V125" s="16"/>
      <c r="W125" s="16"/>
      <c r="X125" s="5"/>
      <c r="Y125" s="5"/>
      <c r="Z125" s="5"/>
      <c r="AA125" s="5"/>
      <c r="AB125" s="5"/>
      <c r="AC125" s="5"/>
      <c r="AD125" s="5"/>
      <c r="AE125" s="5"/>
      <c r="AF125" s="5"/>
      <c r="BL125" s="243"/>
      <c r="BM125" s="30"/>
      <c r="BN125" s="30"/>
      <c r="BO125" s="30"/>
      <c r="BP125" s="30"/>
      <c r="BQ125" s="30"/>
    </row>
    <row r="126" spans="2:73" ht="15" customHeight="1" x14ac:dyDescent="0.2">
      <c r="B126" s="5"/>
      <c r="C126" s="5"/>
      <c r="D126" s="5"/>
      <c r="E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92"/>
      <c r="V126" s="92"/>
      <c r="W126" s="92"/>
      <c r="X126" s="5"/>
      <c r="Y126" s="5"/>
      <c r="Z126" s="5"/>
      <c r="AA126" s="5"/>
      <c r="AB126" s="5"/>
      <c r="AC126" s="5"/>
      <c r="AD126" s="5"/>
      <c r="AE126" s="5"/>
      <c r="AF126" s="5"/>
      <c r="BL126" s="243"/>
      <c r="BM126" s="30"/>
      <c r="BQ126" s="30"/>
    </row>
    <row r="127" spans="2:73" ht="15" customHeight="1" x14ac:dyDescent="0.2">
      <c r="B127" s="5"/>
      <c r="C127" s="5"/>
      <c r="D127" s="5"/>
      <c r="E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BL127" s="243"/>
      <c r="BM127" s="30"/>
      <c r="BQ127" s="30"/>
    </row>
  </sheetData>
  <mergeCells count="356">
    <mergeCell ref="AV1:AV2"/>
    <mergeCell ref="BF2:BG2"/>
    <mergeCell ref="BH2:BI2"/>
    <mergeCell ref="BN2:CB2"/>
    <mergeCell ref="BB2:BD2"/>
    <mergeCell ref="AA49:AC50"/>
    <mergeCell ref="B3:D3"/>
    <mergeCell ref="F3:I3"/>
    <mergeCell ref="K3:N3"/>
    <mergeCell ref="P3:S3"/>
    <mergeCell ref="U3:Y3"/>
    <mergeCell ref="AA3:AC3"/>
    <mergeCell ref="AN2:AN3"/>
    <mergeCell ref="AY2:BA2"/>
    <mergeCell ref="BN4:BP4"/>
    <mergeCell ref="BR4:BT4"/>
    <mergeCell ref="BV4:BX4"/>
    <mergeCell ref="BZ4:CB4"/>
    <mergeCell ref="B5:D5"/>
    <mergeCell ref="P5:S6"/>
    <mergeCell ref="U5:Y5"/>
    <mergeCell ref="AA5:AC6"/>
    <mergeCell ref="AE5:AF6"/>
    <mergeCell ref="F4:I5"/>
    <mergeCell ref="K4:N5"/>
    <mergeCell ref="BA4:BA6"/>
    <mergeCell ref="BE4:BE6"/>
    <mergeCell ref="BF4:BF6"/>
    <mergeCell ref="BG4:BG6"/>
    <mergeCell ref="BN5:BP5"/>
    <mergeCell ref="BR5:BT5"/>
    <mergeCell ref="BV5:BX5"/>
    <mergeCell ref="BZ5:CB5"/>
    <mergeCell ref="F6:G6"/>
    <mergeCell ref="K6:L6"/>
    <mergeCell ref="U6:U7"/>
    <mergeCell ref="V6:X6"/>
    <mergeCell ref="Y6:Y7"/>
    <mergeCell ref="BN9:BN10"/>
    <mergeCell ref="BO9:BO10"/>
    <mergeCell ref="BP9:BP10"/>
    <mergeCell ref="F10:G10"/>
    <mergeCell ref="K10:L10"/>
    <mergeCell ref="BR7:BT7"/>
    <mergeCell ref="BV7:BX7"/>
    <mergeCell ref="BZ7:CB7"/>
    <mergeCell ref="F8:G8"/>
    <mergeCell ref="K8:L8"/>
    <mergeCell ref="P8:Q8"/>
    <mergeCell ref="F7:G7"/>
    <mergeCell ref="K7:L7"/>
    <mergeCell ref="P7:Q7"/>
    <mergeCell ref="AE7:AF10"/>
    <mergeCell ref="BA7:BA9"/>
    <mergeCell ref="BE7:BE9"/>
    <mergeCell ref="BF7:BF9"/>
    <mergeCell ref="BG7:BG9"/>
    <mergeCell ref="BN7:BP7"/>
    <mergeCell ref="P10:Q10"/>
    <mergeCell ref="BA10:BA12"/>
    <mergeCell ref="BE10:BE12"/>
    <mergeCell ref="BF10:BF12"/>
    <mergeCell ref="BG10:BG12"/>
    <mergeCell ref="BD10:BD12"/>
    <mergeCell ref="F9:G9"/>
    <mergeCell ref="K9:L9"/>
    <mergeCell ref="P9:Q9"/>
    <mergeCell ref="BN17:BP17"/>
    <mergeCell ref="F15:G15"/>
    <mergeCell ref="K15:L15"/>
    <mergeCell ref="BN20:BP20"/>
    <mergeCell ref="BR15:BT15"/>
    <mergeCell ref="BV15:BX15"/>
    <mergeCell ref="BZ15:CB15"/>
    <mergeCell ref="F16:G16"/>
    <mergeCell ref="K16:L16"/>
    <mergeCell ref="P16:S17"/>
    <mergeCell ref="AE11:AF19"/>
    <mergeCell ref="F14:G14"/>
    <mergeCell ref="K14:L14"/>
    <mergeCell ref="P14:Q14"/>
    <mergeCell ref="F13:G13"/>
    <mergeCell ref="K13:L13"/>
    <mergeCell ref="P13:Q13"/>
    <mergeCell ref="F11:G11"/>
    <mergeCell ref="K11:L11"/>
    <mergeCell ref="P11:Q11"/>
    <mergeCell ref="F12:G12"/>
    <mergeCell ref="K12:L12"/>
    <mergeCell ref="P12:Q12"/>
    <mergeCell ref="F18:G18"/>
    <mergeCell ref="F20:G20"/>
    <mergeCell ref="K20:L20"/>
    <mergeCell ref="F19:G19"/>
    <mergeCell ref="K19:L19"/>
    <mergeCell ref="F22:G22"/>
    <mergeCell ref="K22:L22"/>
    <mergeCell ref="P22:S22"/>
    <mergeCell ref="F17:G17"/>
    <mergeCell ref="K17:L17"/>
    <mergeCell ref="K18:L18"/>
    <mergeCell ref="F26:G26"/>
    <mergeCell ref="K26:L26"/>
    <mergeCell ref="P26:Q26"/>
    <mergeCell ref="R26:S26"/>
    <mergeCell ref="BS21:BT21"/>
    <mergeCell ref="BW21:BX21"/>
    <mergeCell ref="CA21:CB21"/>
    <mergeCell ref="F25:G25"/>
    <mergeCell ref="K25:L25"/>
    <mergeCell ref="BO22:BP22"/>
    <mergeCell ref="F21:G21"/>
    <mergeCell ref="K21:L21"/>
    <mergeCell ref="AE21:AF21"/>
    <mergeCell ref="BO21:BP21"/>
    <mergeCell ref="F24:G24"/>
    <mergeCell ref="K24:L24"/>
    <mergeCell ref="P24:S25"/>
    <mergeCell ref="F23:G23"/>
    <mergeCell ref="K23:L23"/>
    <mergeCell ref="F29:G29"/>
    <mergeCell ref="K29:L29"/>
    <mergeCell ref="P29:Q29"/>
    <mergeCell ref="R29:S29"/>
    <mergeCell ref="F28:G28"/>
    <mergeCell ref="K28:L28"/>
    <mergeCell ref="P28:Q28"/>
    <mergeCell ref="R28:S28"/>
    <mergeCell ref="F27:G27"/>
    <mergeCell ref="K27:L27"/>
    <mergeCell ref="P27:Q27"/>
    <mergeCell ref="R27:S27"/>
    <mergeCell ref="F32:G32"/>
    <mergeCell ref="K32:L32"/>
    <mergeCell ref="P32:Q32"/>
    <mergeCell ref="R32:S32"/>
    <mergeCell ref="F30:G30"/>
    <mergeCell ref="K30:L30"/>
    <mergeCell ref="P30:Q30"/>
    <mergeCell ref="R30:S30"/>
    <mergeCell ref="F31:G31"/>
    <mergeCell ref="K31:L31"/>
    <mergeCell ref="P31:Q31"/>
    <mergeCell ref="R31:S31"/>
    <mergeCell ref="P36:Q36"/>
    <mergeCell ref="R36:S36"/>
    <mergeCell ref="P35:Q35"/>
    <mergeCell ref="R35:S35"/>
    <mergeCell ref="F34:G34"/>
    <mergeCell ref="K34:L34"/>
    <mergeCell ref="P34:Q34"/>
    <mergeCell ref="R34:S34"/>
    <mergeCell ref="F33:G33"/>
    <mergeCell ref="K33:L33"/>
    <mergeCell ref="P33:Q33"/>
    <mergeCell ref="R33:S33"/>
    <mergeCell ref="P42:Q42"/>
    <mergeCell ref="R42:S42"/>
    <mergeCell ref="P41:Q41"/>
    <mergeCell ref="R41:S41"/>
    <mergeCell ref="P40:Q40"/>
    <mergeCell ref="R40:S40"/>
    <mergeCell ref="P39:Q39"/>
    <mergeCell ref="R39:S39"/>
    <mergeCell ref="P37:Q37"/>
    <mergeCell ref="R37:S37"/>
    <mergeCell ref="P38:Q38"/>
    <mergeCell ref="R38:S38"/>
    <mergeCell ref="P47:Q47"/>
    <mergeCell ref="R47:S47"/>
    <mergeCell ref="P46:Q46"/>
    <mergeCell ref="R46:S46"/>
    <mergeCell ref="P45:Q45"/>
    <mergeCell ref="R45:S45"/>
    <mergeCell ref="P44:Q44"/>
    <mergeCell ref="R44:S44"/>
    <mergeCell ref="P43:Q43"/>
    <mergeCell ref="R43:S43"/>
    <mergeCell ref="P57:Q57"/>
    <mergeCell ref="P56:Q56"/>
    <mergeCell ref="P54:S55"/>
    <mergeCell ref="P52:S52"/>
    <mergeCell ref="P49:Q49"/>
    <mergeCell ref="R49:S49"/>
    <mergeCell ref="P50:Q50"/>
    <mergeCell ref="R50:S50"/>
    <mergeCell ref="P48:Q48"/>
    <mergeCell ref="R48:S48"/>
    <mergeCell ref="P62:Q62"/>
    <mergeCell ref="P63:Q63"/>
    <mergeCell ref="P64:Q64"/>
    <mergeCell ref="P65:Q65"/>
    <mergeCell ref="P66:Q66"/>
    <mergeCell ref="P68:S69"/>
    <mergeCell ref="P58:Q58"/>
    <mergeCell ref="P59:Q59"/>
    <mergeCell ref="P60:Q60"/>
    <mergeCell ref="P61:Q61"/>
    <mergeCell ref="P74:Q74"/>
    <mergeCell ref="R74:S74"/>
    <mergeCell ref="P72:Q72"/>
    <mergeCell ref="R72:S72"/>
    <mergeCell ref="P73:Q73"/>
    <mergeCell ref="R73:S73"/>
    <mergeCell ref="P70:Q70"/>
    <mergeCell ref="R70:S70"/>
    <mergeCell ref="P71:Q71"/>
    <mergeCell ref="R71:S71"/>
    <mergeCell ref="P79:Q79"/>
    <mergeCell ref="R79:S79"/>
    <mergeCell ref="P78:Q78"/>
    <mergeCell ref="R78:S78"/>
    <mergeCell ref="P77:Q77"/>
    <mergeCell ref="R77:S77"/>
    <mergeCell ref="P76:Q76"/>
    <mergeCell ref="R76:S76"/>
    <mergeCell ref="P75:Q75"/>
    <mergeCell ref="R75:S75"/>
    <mergeCell ref="P84:Q84"/>
    <mergeCell ref="R84:S84"/>
    <mergeCell ref="P83:Q83"/>
    <mergeCell ref="R83:S83"/>
    <mergeCell ref="P82:Q82"/>
    <mergeCell ref="R82:S82"/>
    <mergeCell ref="P81:Q81"/>
    <mergeCell ref="R81:S81"/>
    <mergeCell ref="P80:Q80"/>
    <mergeCell ref="R80:S80"/>
    <mergeCell ref="R90:S90"/>
    <mergeCell ref="U90:W90"/>
    <mergeCell ref="P89:Q89"/>
    <mergeCell ref="R89:S89"/>
    <mergeCell ref="P88:Q88"/>
    <mergeCell ref="R88:S88"/>
    <mergeCell ref="P85:Q85"/>
    <mergeCell ref="R85:S85"/>
    <mergeCell ref="P86:Q86"/>
    <mergeCell ref="R86:S86"/>
    <mergeCell ref="P87:Q87"/>
    <mergeCell ref="R87:S87"/>
    <mergeCell ref="P100:Q100"/>
    <mergeCell ref="R100:S100"/>
    <mergeCell ref="U111:W111"/>
    <mergeCell ref="P98:Q98"/>
    <mergeCell ref="R98:S98"/>
    <mergeCell ref="CE97:CF97"/>
    <mergeCell ref="CG97:CI97"/>
    <mergeCell ref="CJ97:CK97"/>
    <mergeCell ref="P97:Q97"/>
    <mergeCell ref="R97:S97"/>
    <mergeCell ref="CG87:CW87"/>
    <mergeCell ref="CE88:CF88"/>
    <mergeCell ref="CG88:CI88"/>
    <mergeCell ref="CJ88:CK88"/>
    <mergeCell ref="CL88:CM88"/>
    <mergeCell ref="CN88:CO88"/>
    <mergeCell ref="BD7:BD9"/>
    <mergeCell ref="BD4:BD6"/>
    <mergeCell ref="P99:Q99"/>
    <mergeCell ref="R99:S99"/>
    <mergeCell ref="P96:Q96"/>
    <mergeCell ref="R96:S96"/>
    <mergeCell ref="P95:Q95"/>
    <mergeCell ref="R95:S95"/>
    <mergeCell ref="P94:Q94"/>
    <mergeCell ref="R94:S94"/>
    <mergeCell ref="P93:Q93"/>
    <mergeCell ref="R93:S93"/>
    <mergeCell ref="P92:Q92"/>
    <mergeCell ref="R92:S92"/>
    <mergeCell ref="P91:Q91"/>
    <mergeCell ref="R91:S91"/>
    <mergeCell ref="U91:W91"/>
    <mergeCell ref="P90:Q90"/>
    <mergeCell ref="CP88:CQ88"/>
    <mergeCell ref="CR88:CS88"/>
    <mergeCell ref="CT88:CU88"/>
    <mergeCell ref="CV88:CW88"/>
    <mergeCell ref="CE89:CF89"/>
    <mergeCell ref="CG89:CI89"/>
    <mergeCell ref="CJ89:CK89"/>
    <mergeCell ref="CL89:CM89"/>
    <mergeCell ref="CN89:CO89"/>
    <mergeCell ref="CP89:CQ89"/>
    <mergeCell ref="CR89:CS89"/>
    <mergeCell ref="CT89:CU89"/>
    <mergeCell ref="CV89:CW89"/>
    <mergeCell ref="CE90:CF90"/>
    <mergeCell ref="CG90:CI90"/>
    <mergeCell ref="CJ90:CK90"/>
    <mergeCell ref="CL90:CM90"/>
    <mergeCell ref="CN90:CO90"/>
    <mergeCell ref="CP90:CQ90"/>
    <mergeCell ref="CR90:CS90"/>
    <mergeCell ref="CT90:CU90"/>
    <mergeCell ref="CV90:CW90"/>
    <mergeCell ref="CE91:CF91"/>
    <mergeCell ref="CG91:CI91"/>
    <mergeCell ref="CJ91:CK91"/>
    <mergeCell ref="CL91:CM91"/>
    <mergeCell ref="CN91:CO91"/>
    <mergeCell ref="CP91:CQ91"/>
    <mergeCell ref="CR91:CS91"/>
    <mergeCell ref="CT91:CU91"/>
    <mergeCell ref="CV91:CW91"/>
    <mergeCell ref="CE92:CF92"/>
    <mergeCell ref="CG92:CI92"/>
    <mergeCell ref="CJ92:CK92"/>
    <mergeCell ref="CL92:CM92"/>
    <mergeCell ref="CN92:CO92"/>
    <mergeCell ref="CP92:CQ92"/>
    <mergeCell ref="CR92:CS92"/>
    <mergeCell ref="CT92:CU92"/>
    <mergeCell ref="CV92:CW92"/>
    <mergeCell ref="CR93:CS93"/>
    <mergeCell ref="CT93:CU93"/>
    <mergeCell ref="CV93:CW93"/>
    <mergeCell ref="CE94:CF94"/>
    <mergeCell ref="CG94:CI94"/>
    <mergeCell ref="CJ94:CK94"/>
    <mergeCell ref="CL94:CM94"/>
    <mergeCell ref="CN94:CO94"/>
    <mergeCell ref="CP94:CQ94"/>
    <mergeCell ref="CR94:CS94"/>
    <mergeCell ref="CE93:CF93"/>
    <mergeCell ref="CG93:CI93"/>
    <mergeCell ref="CJ93:CK93"/>
    <mergeCell ref="CL93:CM93"/>
    <mergeCell ref="CN93:CO93"/>
    <mergeCell ref="CP93:CQ93"/>
    <mergeCell ref="CT94:CU94"/>
    <mergeCell ref="CV94:CW94"/>
    <mergeCell ref="CV97:CW97"/>
    <mergeCell ref="CV95:CW95"/>
    <mergeCell ref="CE96:CF96"/>
    <mergeCell ref="CG96:CI96"/>
    <mergeCell ref="CJ96:CK96"/>
    <mergeCell ref="CL96:CM96"/>
    <mergeCell ref="CN96:CO96"/>
    <mergeCell ref="CP96:CQ96"/>
    <mergeCell ref="CR96:CS96"/>
    <mergeCell ref="CT96:CU96"/>
    <mergeCell ref="CV96:CW96"/>
    <mergeCell ref="CE95:CF95"/>
    <mergeCell ref="CG95:CI95"/>
    <mergeCell ref="CJ95:CK95"/>
    <mergeCell ref="CL95:CM95"/>
    <mergeCell ref="CN95:CO95"/>
    <mergeCell ref="CP95:CQ95"/>
    <mergeCell ref="CR95:CS95"/>
    <mergeCell ref="CT95:CU95"/>
    <mergeCell ref="CL97:CM97"/>
    <mergeCell ref="CN97:CO97"/>
    <mergeCell ref="CP97:CQ97"/>
    <mergeCell ref="CR97:CS97"/>
    <mergeCell ref="CT97:CU97"/>
  </mergeCells>
  <conditionalFormatting sqref="AV5:AV9 AV13:AV14 AV19 AV16:AV17">
    <cfRule type="expression" dxfId="15" priority="9">
      <formula>AU5="yes"</formula>
    </cfRule>
  </conditionalFormatting>
  <conditionalFormatting sqref="AW19 AW16:AW17">
    <cfRule type="expression" dxfId="14" priority="8">
      <formula>AU16="yes"</formula>
    </cfRule>
  </conditionalFormatting>
  <conditionalFormatting sqref="AV10:AV12">
    <cfRule type="expression" dxfId="13" priority="7">
      <formula>AU10="yes"</formula>
    </cfRule>
  </conditionalFormatting>
  <conditionalFormatting sqref="AV15">
    <cfRule type="expression" dxfId="12" priority="5">
      <formula>AU15="yes"</formula>
    </cfRule>
  </conditionalFormatting>
  <conditionalFormatting sqref="AV18">
    <cfRule type="expression" dxfId="11" priority="3">
      <formula>AU18="yes"</formula>
    </cfRule>
  </conditionalFormatting>
  <conditionalFormatting sqref="AW18">
    <cfRule type="expression" dxfId="10" priority="2">
      <formula>AU18="yes"</formula>
    </cfRule>
  </conditionalFormatting>
  <conditionalFormatting sqref="AV4">
    <cfRule type="expression" dxfId="9" priority="1">
      <formula>AU4="yes"</formula>
    </cfRule>
  </conditionalFormatting>
  <dataValidations count="5">
    <dataValidation type="list" allowBlank="1" showInputMessage="1" showErrorMessage="1" sqref="AQ4:AQ19" xr:uid="{3718013C-C930-46CD-BE36-C05394EB8310}">
      <formula1>$Y$112:$Y$115</formula1>
    </dataValidation>
    <dataValidation type="list" allowBlank="1" showInputMessage="1" showErrorMessage="1" sqref="AP4:AP19" xr:uid="{9AE424B6-EAE6-4E22-9A69-D5B064A350FB}">
      <formula1>$Y$111:$Y$114</formula1>
    </dataValidation>
    <dataValidation type="list" allowBlank="1" showInputMessage="1" showErrorMessage="1" sqref="AO4:AO19" xr:uid="{F8BDEBAF-A255-4772-8B2C-F6D47779E1C8}">
      <formula1>$Z$88:$Z$89</formula1>
    </dataValidation>
    <dataValidation type="list" allowBlank="1" showInputMessage="1" showErrorMessage="1" sqref="AU4:AU19" xr:uid="{5A365958-FC6D-4D7A-A6F2-63784779CEBC}">
      <formula1>$Z$85:$Z$86</formula1>
    </dataValidation>
    <dataValidation type="list" allowBlank="1" showInputMessage="1" showErrorMessage="1" sqref="AF3" xr:uid="{F497B306-2A7C-4F66-B1C8-62D7665CB19C}">
      <formula1>$Y$92:$Y$97</formula1>
    </dataValidation>
  </dataValidations>
  <pageMargins left="0.7" right="0.7" top="0.75" bottom="0.75" header="0.3" footer="0.3"/>
  <ignoredErrors>
    <ignoredError sqref="BF4" evalError="1"/>
  </ignoredError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40CD2A-AE60-4689-BAC9-2CA1180B8A03}">
  <sheetPr codeName="Sheet14">
    <tabColor rgb="FFFFFF00"/>
  </sheetPr>
  <dimension ref="A2:AM63"/>
  <sheetViews>
    <sheetView topLeftCell="T1" zoomScale="80" zoomScaleNormal="80" workbookViewId="0">
      <selection activeCell="T1" sqref="T1"/>
    </sheetView>
  </sheetViews>
  <sheetFormatPr defaultRowHeight="15" x14ac:dyDescent="0.25"/>
  <cols>
    <col min="1" max="1" width="9.140625" hidden="1" customWidth="1"/>
    <col min="2" max="2" width="17.28515625" hidden="1" customWidth="1"/>
    <col min="3" max="4" width="14.140625" hidden="1" customWidth="1"/>
    <col min="5" max="5" width="9.140625" hidden="1" customWidth="1"/>
    <col min="6" max="6" width="10" hidden="1" customWidth="1"/>
    <col min="7" max="7" width="7.85546875" hidden="1" customWidth="1"/>
    <col min="8" max="8" width="16.85546875" hidden="1" customWidth="1"/>
    <col min="9" max="9" width="14.5703125" hidden="1" customWidth="1"/>
    <col min="10" max="10" width="10.85546875" hidden="1" customWidth="1"/>
    <col min="11" max="11" width="9.140625" hidden="1" customWidth="1"/>
    <col min="12" max="12" width="12" hidden="1" customWidth="1"/>
    <col min="13" max="13" width="11.140625" hidden="1" customWidth="1"/>
    <col min="14" max="14" width="9.140625" hidden="1" customWidth="1"/>
    <col min="15" max="15" width="19.5703125" hidden="1" customWidth="1"/>
    <col min="16" max="16" width="19.28515625" hidden="1" customWidth="1"/>
    <col min="17" max="17" width="9.140625" hidden="1" customWidth="1"/>
    <col min="18" max="18" width="11.140625" hidden="1" customWidth="1"/>
    <col min="19" max="19" width="10" hidden="1" customWidth="1"/>
    <col min="21" max="21" width="33.140625" bestFit="1" customWidth="1"/>
    <col min="25" max="25" width="10.140625" bestFit="1" customWidth="1"/>
    <col min="26" max="26" width="7.5703125" customWidth="1"/>
    <col min="27" max="27" width="10" bestFit="1" customWidth="1"/>
    <col min="28" max="28" width="8.5703125" customWidth="1"/>
    <col min="29" max="29" width="37" customWidth="1"/>
    <col min="30" max="30" width="22.7109375" customWidth="1"/>
    <col min="31" max="31" width="42.7109375" customWidth="1"/>
    <col min="32" max="32" width="35.85546875" bestFit="1" customWidth="1"/>
    <col min="33" max="33" width="28.85546875" customWidth="1"/>
    <col min="34" max="34" width="10.5703125" bestFit="1" customWidth="1"/>
    <col min="35" max="35" width="16.28515625" bestFit="1" customWidth="1"/>
    <col min="36" max="36" width="17.85546875" bestFit="1" customWidth="1"/>
    <col min="37" max="37" width="16.5703125" bestFit="1" customWidth="1"/>
  </cols>
  <sheetData>
    <row r="2" spans="2:39" ht="15" customHeight="1" x14ac:dyDescent="0.25">
      <c r="AC2" s="310" t="s">
        <v>520</v>
      </c>
    </row>
    <row r="3" spans="2:39" x14ac:dyDescent="0.25">
      <c r="B3" s="554" t="s">
        <v>523</v>
      </c>
      <c r="C3" s="554"/>
      <c r="D3" s="554"/>
      <c r="F3" s="138"/>
      <c r="G3" s="138"/>
      <c r="H3" s="554" t="s">
        <v>509</v>
      </c>
      <c r="I3" s="554"/>
      <c r="J3" s="554"/>
      <c r="L3" s="561" t="s">
        <v>493</v>
      </c>
      <c r="M3" s="562"/>
      <c r="N3" s="114"/>
      <c r="O3" s="343" t="s">
        <v>494</v>
      </c>
      <c r="P3" s="345"/>
      <c r="Q3" s="114"/>
      <c r="R3" s="343" t="s">
        <v>495</v>
      </c>
      <c r="S3" s="345"/>
      <c r="U3" s="563" t="s">
        <v>562</v>
      </c>
      <c r="V3" s="564"/>
      <c r="X3" s="135"/>
      <c r="Y3" s="146" t="s">
        <v>11</v>
      </c>
      <c r="Z3" s="136" t="s">
        <v>497</v>
      </c>
      <c r="AA3" s="137" t="s">
        <v>498</v>
      </c>
      <c r="AB3" s="146" t="s">
        <v>499</v>
      </c>
      <c r="AC3" s="165" t="s">
        <v>521</v>
      </c>
      <c r="AD3" s="137" t="s">
        <v>501</v>
      </c>
      <c r="AE3" s="142" t="s">
        <v>502</v>
      </c>
      <c r="AF3" s="136" t="s">
        <v>494</v>
      </c>
      <c r="AG3" s="137" t="s">
        <v>503</v>
      </c>
      <c r="AH3" s="136" t="s">
        <v>504</v>
      </c>
      <c r="AI3" s="136" t="s">
        <v>505</v>
      </c>
      <c r="AJ3" s="137" t="s">
        <v>506</v>
      </c>
      <c r="AK3" s="136" t="s">
        <v>507</v>
      </c>
      <c r="AL3" s="545" t="s">
        <v>508</v>
      </c>
      <c r="AM3" s="546"/>
    </row>
    <row r="4" spans="2:39" x14ac:dyDescent="0.25">
      <c r="B4" s="136" t="s">
        <v>500</v>
      </c>
      <c r="C4" s="555" t="s">
        <v>524</v>
      </c>
      <c r="D4" s="555"/>
      <c r="F4" s="142" t="s">
        <v>18</v>
      </c>
      <c r="G4" s="162" t="s">
        <v>513</v>
      </c>
      <c r="H4" s="142" t="s">
        <v>514</v>
      </c>
      <c r="I4" s="142" t="s">
        <v>512</v>
      </c>
      <c r="J4" s="163" t="s">
        <v>515</v>
      </c>
      <c r="L4" s="556">
        <v>75</v>
      </c>
      <c r="M4" s="557"/>
      <c r="N4" s="114"/>
      <c r="O4" s="139" t="s">
        <v>510</v>
      </c>
      <c r="P4" s="140">
        <v>3.2299999999999998E-3</v>
      </c>
      <c r="Q4" s="114"/>
      <c r="R4" s="136" t="s">
        <v>497</v>
      </c>
      <c r="S4" s="141" t="s">
        <v>498</v>
      </c>
      <c r="U4" s="234" t="s">
        <v>561</v>
      </c>
      <c r="V4" s="80">
        <f>MAX('3 Inv Output'!H9:P9)*LEFT('3 Inv Output'!H16,LEN('3 Inv Output'!H16)-1)</f>
        <v>300</v>
      </c>
      <c r="X4" s="558" t="s">
        <v>518</v>
      </c>
      <c r="Y4" s="115">
        <v>1</v>
      </c>
      <c r="Z4" s="80">
        <v>1</v>
      </c>
      <c r="AA4" s="143">
        <f t="shared" ref="AA4:AA13" si="0">VLOOKUP(Z4,$R$5:$S$6,2,FALSE)</f>
        <v>2</v>
      </c>
      <c r="AB4" s="235">
        <f>$V$5</f>
        <v>0.78947368421052633</v>
      </c>
      <c r="AC4" s="209"/>
      <c r="AD4" s="79" t="s">
        <v>512</v>
      </c>
      <c r="AE4" s="80" t="e">
        <f t="shared" ref="AE4:AE13" si="1">IF(AD4="Copper-Coated",VLOOKUP(AC4,$F$5:$J$32,4,FALSE),IF(AD4="Copper-Uncoated",VLOOKUP(AC4,$F$5:$J$32,3,FALSE),VLOOKUP(AC4,$F$5:$J$32,5,FALSE)))</f>
        <v>#N/A</v>
      </c>
      <c r="AF4" s="215">
        <f>IF(AD4="Aluminum",VLOOKUP(AD4,$O$4:$P$5,2,FALSE),VLOOKUP("Copper",$O$4:$P$5,2,TRUE))</f>
        <v>3.2299999999999998E-3</v>
      </c>
      <c r="AG4" s="79">
        <f>1+AF4*($L$4-75)</f>
        <v>1</v>
      </c>
      <c r="AH4" s="209"/>
      <c r="AI4" s="144" t="e">
        <f t="shared" ref="AI4:AI13" si="2">(AA4*AB4*AH4*AE4*AG4)/1000</f>
        <v>#N/A</v>
      </c>
      <c r="AJ4" s="80">
        <f>V9</f>
        <v>380</v>
      </c>
      <c r="AK4" s="145" t="e">
        <f>AI4/AJ4</f>
        <v>#N/A</v>
      </c>
      <c r="AL4" s="547" t="e">
        <f>SUM(AK4:AK9)</f>
        <v>#N/A</v>
      </c>
      <c r="AM4" s="547" t="e">
        <f>SUM(AL4:AL21)</f>
        <v>#N/A</v>
      </c>
    </row>
    <row r="5" spans="2:39" x14ac:dyDescent="0.25">
      <c r="B5" s="80">
        <v>18</v>
      </c>
      <c r="C5" s="79">
        <v>0</v>
      </c>
      <c r="D5" s="80">
        <v>1620</v>
      </c>
      <c r="F5" s="80">
        <v>18</v>
      </c>
      <c r="G5" s="79">
        <v>7</v>
      </c>
      <c r="H5" s="80">
        <v>7.95</v>
      </c>
      <c r="I5" s="79">
        <v>8.4499999999999993</v>
      </c>
      <c r="J5" s="80">
        <v>13.1</v>
      </c>
      <c r="N5" s="114"/>
      <c r="O5" s="147" t="s">
        <v>516</v>
      </c>
      <c r="P5" s="148">
        <v>3.3E-3</v>
      </c>
      <c r="Q5" s="114"/>
      <c r="R5" s="140">
        <v>1</v>
      </c>
      <c r="S5" s="140">
        <v>2</v>
      </c>
      <c r="U5" s="219" t="s">
        <v>563</v>
      </c>
      <c r="V5" s="157">
        <f>V4/MIN(V9,V13,V17)</f>
        <v>0.78947368421052633</v>
      </c>
      <c r="X5" s="559"/>
      <c r="Y5" s="116">
        <v>2</v>
      </c>
      <c r="Z5" s="75">
        <v>1</v>
      </c>
      <c r="AA5" s="149">
        <f t="shared" si="0"/>
        <v>2</v>
      </c>
      <c r="AB5" s="236">
        <f>$V$5</f>
        <v>0.78947368421052633</v>
      </c>
      <c r="AC5" s="210"/>
      <c r="AD5" s="74" t="s">
        <v>512</v>
      </c>
      <c r="AE5" s="75" t="e">
        <f t="shared" si="1"/>
        <v>#N/A</v>
      </c>
      <c r="AF5" s="286">
        <f>IF(AD5="Aluminum",VLOOKUP(AD5,$O$4:$P$5,2,FALSE),VLOOKUP("Copper",$O$4:$P$5,2,TRUE))</f>
        <v>3.2299999999999998E-3</v>
      </c>
      <c r="AG5" s="75">
        <f>1+AF5*($L$4-75)</f>
        <v>1</v>
      </c>
      <c r="AH5" s="210"/>
      <c r="AI5" s="150" t="e">
        <f t="shared" si="2"/>
        <v>#N/A</v>
      </c>
      <c r="AJ5" s="75">
        <f>V13</f>
        <v>380</v>
      </c>
      <c r="AK5" s="151" t="e">
        <f>AI5/AJ5</f>
        <v>#N/A</v>
      </c>
      <c r="AL5" s="548"/>
      <c r="AM5" s="548"/>
    </row>
    <row r="6" spans="2:39" x14ac:dyDescent="0.25">
      <c r="B6" s="75">
        <v>16</v>
      </c>
      <c r="C6" s="74">
        <f t="shared" ref="C6:C34" si="3">D5+0.001</f>
        <v>1620.001</v>
      </c>
      <c r="D6" s="75">
        <v>2580</v>
      </c>
      <c r="F6" s="75">
        <v>16</v>
      </c>
      <c r="G6" s="74">
        <v>7</v>
      </c>
      <c r="H6" s="75">
        <v>4.99</v>
      </c>
      <c r="I6" s="74">
        <v>5.29</v>
      </c>
      <c r="J6" s="75">
        <v>8.2100000000000009</v>
      </c>
      <c r="L6" s="71"/>
      <c r="M6" s="71"/>
      <c r="R6" s="152">
        <v>3</v>
      </c>
      <c r="S6" s="153">
        <f>SQRT(3)</f>
        <v>1.7320508075688772</v>
      </c>
      <c r="U6" s="563" t="s">
        <v>653</v>
      </c>
      <c r="V6" s="564"/>
      <c r="X6" s="559"/>
      <c r="Y6" s="75">
        <v>3</v>
      </c>
      <c r="Z6" s="75">
        <v>1</v>
      </c>
      <c r="AA6" s="149">
        <f t="shared" si="0"/>
        <v>2</v>
      </c>
      <c r="AB6" s="236">
        <f>$V$5</f>
        <v>0.78947368421052633</v>
      </c>
      <c r="AC6" s="210"/>
      <c r="AD6" s="77" t="s">
        <v>512</v>
      </c>
      <c r="AE6" s="75" t="e">
        <f t="shared" si="1"/>
        <v>#N/A</v>
      </c>
      <c r="AF6" s="216">
        <f>IF(AD6="Aluminum",VLOOKUP(AD6,$O$4:$P$5,2,FALSE),VLOOKUP("Copper",$O$4:$P$5,2,TRUE))</f>
        <v>3.2299999999999998E-3</v>
      </c>
      <c r="AG6" s="74">
        <f>1+AF6*($L$4-75)</f>
        <v>1</v>
      </c>
      <c r="AH6" s="210"/>
      <c r="AI6" s="150" t="e">
        <f t="shared" si="2"/>
        <v>#N/A</v>
      </c>
      <c r="AJ6" s="75">
        <f>V17</f>
        <v>380</v>
      </c>
      <c r="AK6" s="151" t="e">
        <f>AI6/AJ6</f>
        <v>#N/A</v>
      </c>
      <c r="AL6" s="548"/>
      <c r="AM6" s="548"/>
    </row>
    <row r="7" spans="2:39" x14ac:dyDescent="0.25">
      <c r="B7" s="75">
        <v>14</v>
      </c>
      <c r="C7" s="74">
        <f>D6+0.001</f>
        <v>2580.0010000000002</v>
      </c>
      <c r="D7" s="75">
        <v>4110</v>
      </c>
      <c r="F7" s="75">
        <v>14</v>
      </c>
      <c r="G7" s="74">
        <v>7</v>
      </c>
      <c r="H7" s="75">
        <v>3.14</v>
      </c>
      <c r="I7" s="74">
        <v>3.26</v>
      </c>
      <c r="J7" s="75">
        <v>5.17</v>
      </c>
      <c r="L7" s="71"/>
      <c r="M7" s="71"/>
      <c r="R7" s="114"/>
      <c r="S7" s="155"/>
      <c r="U7" s="212" t="s">
        <v>519</v>
      </c>
      <c r="V7" s="80">
        <f>'3 Inv Calcs'!BS18</f>
        <v>240</v>
      </c>
      <c r="X7" s="559"/>
      <c r="Y7" s="116">
        <v>4</v>
      </c>
      <c r="Z7" s="75">
        <v>1</v>
      </c>
      <c r="AA7" s="149">
        <f t="shared" si="0"/>
        <v>2</v>
      </c>
      <c r="AB7" s="236">
        <f>$V$5</f>
        <v>0.78947368421052633</v>
      </c>
      <c r="AC7" s="210"/>
      <c r="AD7" s="74" t="s">
        <v>512</v>
      </c>
      <c r="AE7" s="75" t="e">
        <f t="shared" si="1"/>
        <v>#N/A</v>
      </c>
      <c r="AF7" s="216">
        <f>IF(AD7="Aluminum",VLOOKUP(AD7,$O$4:$P$5,2,FALSE),VLOOKUP("Copper",$O$4:$P$5,2,TRUE))</f>
        <v>3.2299999999999998E-3</v>
      </c>
      <c r="AG7" s="75">
        <f>1+AF7*($L$4-75)</f>
        <v>1</v>
      </c>
      <c r="AH7" s="210"/>
      <c r="AI7" s="150" t="e">
        <f t="shared" si="2"/>
        <v>#N/A</v>
      </c>
      <c r="AJ7" s="75">
        <f>V9</f>
        <v>380</v>
      </c>
      <c r="AK7" s="151" t="e">
        <f>AI7/AJ7</f>
        <v>#N/A</v>
      </c>
      <c r="AL7" s="548"/>
      <c r="AM7" s="548"/>
    </row>
    <row r="8" spans="2:39" x14ac:dyDescent="0.25">
      <c r="B8" s="75">
        <v>12</v>
      </c>
      <c r="C8" s="74">
        <f>D7+0.001</f>
        <v>4110.0010000000002</v>
      </c>
      <c r="D8" s="75">
        <v>6530</v>
      </c>
      <c r="F8" s="75">
        <v>12</v>
      </c>
      <c r="G8" s="74">
        <v>7</v>
      </c>
      <c r="H8" s="75">
        <v>1.98</v>
      </c>
      <c r="I8" s="74">
        <v>2.0499999999999998</v>
      </c>
      <c r="J8" s="75">
        <v>3.25</v>
      </c>
      <c r="L8" s="71"/>
      <c r="M8" s="71"/>
      <c r="R8" s="114"/>
      <c r="S8" s="155"/>
      <c r="U8" s="213" t="s">
        <v>517</v>
      </c>
      <c r="V8" s="75">
        <f>'3 Inv Calcs'!CD8</f>
        <v>12.5</v>
      </c>
      <c r="X8" s="559"/>
      <c r="Y8" s="75">
        <v>5</v>
      </c>
      <c r="Z8" s="75">
        <v>1</v>
      </c>
      <c r="AA8" s="149">
        <f t="shared" si="0"/>
        <v>2</v>
      </c>
      <c r="AB8" s="236">
        <f t="shared" ref="AB8:AB9" si="4">$V$5</f>
        <v>0.78947368421052633</v>
      </c>
      <c r="AC8" s="210"/>
      <c r="AD8" s="74" t="s">
        <v>512</v>
      </c>
      <c r="AE8" s="75" t="e">
        <f t="shared" si="1"/>
        <v>#N/A</v>
      </c>
      <c r="AF8" s="216">
        <f t="shared" ref="AF8:AF9" si="5">IF(AD8="Aluminum",VLOOKUP(AD8,$O$4:$P$5,2,FALSE),VLOOKUP("Copper",$O$4:$P$5,2,TRUE))</f>
        <v>3.2299999999999998E-3</v>
      </c>
      <c r="AG8" s="75">
        <f t="shared" ref="AG8:AG9" si="6">1+AF8*($L$4-75)</f>
        <v>1</v>
      </c>
      <c r="AH8" s="210"/>
      <c r="AI8" s="150" t="e">
        <f t="shared" si="2"/>
        <v>#N/A</v>
      </c>
      <c r="AJ8" s="74">
        <f>V13</f>
        <v>380</v>
      </c>
      <c r="AK8" s="151" t="e">
        <f t="shared" ref="AK8:AK9" si="7">AI8/AJ8</f>
        <v>#N/A</v>
      </c>
      <c r="AL8" s="548"/>
      <c r="AM8" s="548"/>
    </row>
    <row r="9" spans="2:39" x14ac:dyDescent="0.25">
      <c r="B9" s="75">
        <v>10</v>
      </c>
      <c r="C9" s="74">
        <f t="shared" si="3"/>
        <v>6530.0010000000002</v>
      </c>
      <c r="D9" s="75">
        <v>10380</v>
      </c>
      <c r="F9" s="75">
        <v>10</v>
      </c>
      <c r="G9" s="74">
        <v>7</v>
      </c>
      <c r="H9" s="75">
        <v>1.24</v>
      </c>
      <c r="I9" s="74">
        <v>1.29</v>
      </c>
      <c r="J9" s="75">
        <v>2.04</v>
      </c>
      <c r="L9" s="71"/>
      <c r="M9" s="71"/>
      <c r="R9" s="114"/>
      <c r="S9" s="155"/>
      <c r="U9" s="214" t="s">
        <v>560</v>
      </c>
      <c r="V9" s="82">
        <f>'3 Inv Calcs'!BS10</f>
        <v>380</v>
      </c>
      <c r="X9" s="559"/>
      <c r="Y9" s="116">
        <v>6</v>
      </c>
      <c r="Z9" s="75">
        <v>1</v>
      </c>
      <c r="AA9" s="154">
        <f t="shared" si="0"/>
        <v>2</v>
      </c>
      <c r="AB9" s="236">
        <f t="shared" si="4"/>
        <v>0.78947368421052633</v>
      </c>
      <c r="AC9" s="210"/>
      <c r="AD9" s="74" t="s">
        <v>512</v>
      </c>
      <c r="AE9" s="75" t="e">
        <f t="shared" si="1"/>
        <v>#N/A</v>
      </c>
      <c r="AF9" s="216">
        <f t="shared" si="5"/>
        <v>3.2299999999999998E-3</v>
      </c>
      <c r="AG9" s="75">
        <f t="shared" si="6"/>
        <v>1</v>
      </c>
      <c r="AH9" s="210"/>
      <c r="AI9" s="150" t="e">
        <f t="shared" si="2"/>
        <v>#N/A</v>
      </c>
      <c r="AJ9" s="74">
        <f>V17</f>
        <v>380</v>
      </c>
      <c r="AK9" s="151" t="e">
        <f t="shared" si="7"/>
        <v>#N/A</v>
      </c>
      <c r="AL9" s="549"/>
      <c r="AM9" s="548"/>
    </row>
    <row r="10" spans="2:39" x14ac:dyDescent="0.25">
      <c r="B10" s="75">
        <v>8</v>
      </c>
      <c r="C10" s="74">
        <f t="shared" si="3"/>
        <v>10380.001</v>
      </c>
      <c r="D10" s="75">
        <v>16510</v>
      </c>
      <c r="F10" s="75">
        <v>8</v>
      </c>
      <c r="G10" s="74">
        <v>7</v>
      </c>
      <c r="H10" s="75">
        <v>0.77800000000000002</v>
      </c>
      <c r="I10" s="74">
        <v>0.80900000000000005</v>
      </c>
      <c r="J10" s="75">
        <v>1.28</v>
      </c>
      <c r="L10" s="71"/>
      <c r="M10" s="71"/>
      <c r="R10" s="114"/>
      <c r="S10" s="155"/>
      <c r="U10" s="563" t="s">
        <v>654</v>
      </c>
      <c r="V10" s="564"/>
      <c r="X10" s="558" t="s">
        <v>511</v>
      </c>
      <c r="Y10" s="115">
        <v>7</v>
      </c>
      <c r="Z10" s="80">
        <v>1</v>
      </c>
      <c r="AA10" s="143">
        <f t="shared" si="0"/>
        <v>2</v>
      </c>
      <c r="AB10" s="115">
        <f>V8</f>
        <v>12.5</v>
      </c>
      <c r="AC10" s="209"/>
      <c r="AD10" s="79" t="s">
        <v>512</v>
      </c>
      <c r="AE10" s="80" t="e">
        <f t="shared" si="1"/>
        <v>#N/A</v>
      </c>
      <c r="AF10" s="215">
        <f>IF(AD10="Aluminum",VLOOKUP(AD10,$O$4:$P$5,2,FALSE),VLOOKUP("Copper",$O$4:$P$5,2,TRUE))</f>
        <v>3.2299999999999998E-3</v>
      </c>
      <c r="AG10" s="80">
        <f>1+AF10*($L$4-75)</f>
        <v>1</v>
      </c>
      <c r="AH10" s="209"/>
      <c r="AI10" s="144" t="e">
        <f t="shared" si="2"/>
        <v>#N/A</v>
      </c>
      <c r="AJ10" s="79">
        <f>V7</f>
        <v>240</v>
      </c>
      <c r="AK10" s="145" t="e">
        <f>AI10/AJ10</f>
        <v>#N/A</v>
      </c>
      <c r="AL10" s="547" t="e">
        <f>SUM(AK10:AK13)</f>
        <v>#N/A</v>
      </c>
      <c r="AM10" s="548"/>
    </row>
    <row r="11" spans="2:39" x14ac:dyDescent="0.25">
      <c r="B11" s="75">
        <v>6</v>
      </c>
      <c r="C11" s="74">
        <f t="shared" si="3"/>
        <v>16510.001</v>
      </c>
      <c r="D11" s="75">
        <v>26240</v>
      </c>
      <c r="F11" s="75">
        <v>6</v>
      </c>
      <c r="G11" s="74">
        <v>7</v>
      </c>
      <c r="H11" s="75">
        <v>0.49099999999999999</v>
      </c>
      <c r="I11" s="74">
        <v>0.51</v>
      </c>
      <c r="J11" s="75">
        <v>0.80800000000000005</v>
      </c>
      <c r="K11" s="114"/>
      <c r="L11" s="114"/>
      <c r="M11" s="114"/>
      <c r="U11" s="212" t="s">
        <v>519</v>
      </c>
      <c r="V11" s="80">
        <f>'3 Inv Calcs'!BW18</f>
        <v>240</v>
      </c>
      <c r="X11" s="559"/>
      <c r="Y11" s="116">
        <v>8</v>
      </c>
      <c r="Z11" s="75">
        <v>1</v>
      </c>
      <c r="AA11" s="154">
        <f t="shared" si="0"/>
        <v>2</v>
      </c>
      <c r="AB11" s="116">
        <f>V12</f>
        <v>12.5</v>
      </c>
      <c r="AC11" s="210"/>
      <c r="AD11" s="74" t="s">
        <v>512</v>
      </c>
      <c r="AE11" s="75" t="e">
        <f t="shared" si="1"/>
        <v>#N/A</v>
      </c>
      <c r="AF11" s="216">
        <f t="shared" ref="AF11:AF13" si="8">IF(AD11="Aluminum",VLOOKUP(AD11,$O$4:$P$5,2,FALSE),VLOOKUP("Copper",$O$4:$P$5,2,TRUE))</f>
        <v>3.2299999999999998E-3</v>
      </c>
      <c r="AG11" s="75">
        <f t="shared" ref="AG11:AG13" si="9">1+AF11*($L$4-75)</f>
        <v>1</v>
      </c>
      <c r="AH11" s="210"/>
      <c r="AI11" s="150" t="e">
        <f t="shared" si="2"/>
        <v>#N/A</v>
      </c>
      <c r="AJ11" s="74">
        <f>V11</f>
        <v>240</v>
      </c>
      <c r="AK11" s="151" t="e">
        <f t="shared" ref="AK11:AK13" si="10">AI11/AJ11</f>
        <v>#N/A</v>
      </c>
      <c r="AL11" s="548"/>
      <c r="AM11" s="548"/>
    </row>
    <row r="12" spans="2:39" x14ac:dyDescent="0.25">
      <c r="B12" s="75">
        <v>4</v>
      </c>
      <c r="C12" s="74">
        <f>D11+0.001</f>
        <v>26240.001</v>
      </c>
      <c r="D12" s="75">
        <v>41740</v>
      </c>
      <c r="F12" s="75">
        <v>4</v>
      </c>
      <c r="G12" s="74">
        <v>7</v>
      </c>
      <c r="H12" s="75">
        <v>0.308</v>
      </c>
      <c r="I12" s="74">
        <v>0.32100000000000001</v>
      </c>
      <c r="J12" s="75">
        <v>0.50800000000000001</v>
      </c>
      <c r="K12" s="114"/>
      <c r="L12" s="114"/>
      <c r="M12" s="114"/>
      <c r="U12" s="213" t="s">
        <v>517</v>
      </c>
      <c r="V12" s="75">
        <f>'3 Inv Calcs'!CD9</f>
        <v>12.5</v>
      </c>
      <c r="X12" s="559"/>
      <c r="Y12" s="304">
        <v>9</v>
      </c>
      <c r="Z12" s="75">
        <v>1</v>
      </c>
      <c r="AA12" s="154">
        <f t="shared" si="0"/>
        <v>2</v>
      </c>
      <c r="AB12" s="116">
        <f>V16</f>
        <v>12.5</v>
      </c>
      <c r="AC12" s="210"/>
      <c r="AD12" s="74" t="s">
        <v>512</v>
      </c>
      <c r="AE12" s="75" t="e">
        <f t="shared" si="1"/>
        <v>#N/A</v>
      </c>
      <c r="AF12" s="216">
        <f t="shared" si="8"/>
        <v>3.2299999999999998E-3</v>
      </c>
      <c r="AG12" s="75">
        <f t="shared" si="9"/>
        <v>1</v>
      </c>
      <c r="AH12" s="210"/>
      <c r="AI12" s="150" t="e">
        <f t="shared" si="2"/>
        <v>#N/A</v>
      </c>
      <c r="AJ12" s="74">
        <f>V15</f>
        <v>240</v>
      </c>
      <c r="AK12" s="151" t="e">
        <f t="shared" si="10"/>
        <v>#N/A</v>
      </c>
      <c r="AL12" s="548"/>
      <c r="AM12" s="548"/>
    </row>
    <row r="13" spans="2:39" x14ac:dyDescent="0.25">
      <c r="B13" s="75">
        <v>3</v>
      </c>
      <c r="C13" s="74">
        <f t="shared" si="3"/>
        <v>41740.000999999997</v>
      </c>
      <c r="D13" s="75">
        <v>52620</v>
      </c>
      <c r="F13" s="75">
        <v>3</v>
      </c>
      <c r="G13" s="74">
        <v>7</v>
      </c>
      <c r="H13" s="75">
        <v>0.245</v>
      </c>
      <c r="I13" s="74">
        <v>0.254</v>
      </c>
      <c r="J13" s="75">
        <v>0.40300000000000002</v>
      </c>
      <c r="K13" s="114"/>
      <c r="L13" s="114"/>
      <c r="M13" s="114"/>
      <c r="U13" s="214" t="s">
        <v>560</v>
      </c>
      <c r="V13" s="82">
        <f>'3 Inv Calcs'!BW10</f>
        <v>380</v>
      </c>
      <c r="X13" s="560"/>
      <c r="Y13" s="305" t="s">
        <v>666</v>
      </c>
      <c r="Z13" s="82">
        <v>1</v>
      </c>
      <c r="AA13" s="156">
        <f t="shared" si="0"/>
        <v>2</v>
      </c>
      <c r="AB13" s="226">
        <f>SUM(AB10:AB12)</f>
        <v>37.5</v>
      </c>
      <c r="AC13" s="211"/>
      <c r="AD13" s="81" t="s">
        <v>512</v>
      </c>
      <c r="AE13" s="82" t="e">
        <f t="shared" si="1"/>
        <v>#N/A</v>
      </c>
      <c r="AF13" s="216">
        <f t="shared" si="8"/>
        <v>3.2299999999999998E-3</v>
      </c>
      <c r="AG13" s="75">
        <f t="shared" si="9"/>
        <v>1</v>
      </c>
      <c r="AH13" s="211"/>
      <c r="AI13" s="150" t="e">
        <f t="shared" si="2"/>
        <v>#N/A</v>
      </c>
      <c r="AJ13" s="81">
        <f>V7</f>
        <v>240</v>
      </c>
      <c r="AK13" s="151" t="e">
        <f t="shared" si="10"/>
        <v>#N/A</v>
      </c>
      <c r="AL13" s="549"/>
      <c r="AM13" s="549"/>
    </row>
    <row r="14" spans="2:39" x14ac:dyDescent="0.25">
      <c r="B14" s="75">
        <v>2</v>
      </c>
      <c r="C14" s="74">
        <f t="shared" si="3"/>
        <v>52620.000999999997</v>
      </c>
      <c r="D14" s="75">
        <v>66360</v>
      </c>
      <c r="F14" s="75">
        <v>2</v>
      </c>
      <c r="G14" s="74">
        <v>7</v>
      </c>
      <c r="H14" s="75">
        <v>0.19400000000000001</v>
      </c>
      <c r="I14" s="74">
        <v>0.20100000000000001</v>
      </c>
      <c r="J14" s="75">
        <v>0.31900000000000001</v>
      </c>
      <c r="K14" s="114"/>
      <c r="L14" s="114"/>
      <c r="M14" s="114"/>
      <c r="U14" s="563" t="s">
        <v>673</v>
      </c>
      <c r="V14" s="564"/>
      <c r="AE14" s="114"/>
      <c r="AF14" s="159"/>
      <c r="AG14" s="159"/>
      <c r="AH14" s="160"/>
      <c r="AI14" s="159"/>
      <c r="AJ14" s="160"/>
      <c r="AK14" s="161"/>
      <c r="AL14" s="160"/>
    </row>
    <row r="15" spans="2:39" x14ac:dyDescent="0.25">
      <c r="B15" s="75">
        <v>1</v>
      </c>
      <c r="C15" s="74">
        <f t="shared" si="3"/>
        <v>66360.001000000004</v>
      </c>
      <c r="D15" s="75">
        <v>83690</v>
      </c>
      <c r="F15" s="75">
        <v>1</v>
      </c>
      <c r="G15" s="74">
        <v>19</v>
      </c>
      <c r="H15" s="75">
        <v>0.154</v>
      </c>
      <c r="I15" s="74">
        <v>0.16</v>
      </c>
      <c r="J15" s="75">
        <v>0.253</v>
      </c>
      <c r="K15" s="114"/>
      <c r="L15" s="114"/>
      <c r="M15" s="114"/>
      <c r="U15" s="212" t="s">
        <v>519</v>
      </c>
      <c r="V15" s="80">
        <f>'3 Inv Calcs'!CA18</f>
        <v>240</v>
      </c>
      <c r="X15" s="71"/>
      <c r="Y15" s="71"/>
      <c r="Z15" s="71"/>
      <c r="AA15" s="71"/>
      <c r="AB15" s="71"/>
      <c r="AC15" s="71"/>
      <c r="AD15" s="71"/>
      <c r="AE15" s="71"/>
      <c r="AF15" s="71"/>
    </row>
    <row r="16" spans="2:39" x14ac:dyDescent="0.25">
      <c r="B16" s="89" t="s">
        <v>19</v>
      </c>
      <c r="C16" s="74">
        <f t="shared" si="3"/>
        <v>83690.001000000004</v>
      </c>
      <c r="D16" s="75">
        <v>105600</v>
      </c>
      <c r="F16" s="89" t="s">
        <v>19</v>
      </c>
      <c r="G16" s="62">
        <v>19</v>
      </c>
      <c r="H16" s="75">
        <v>0.122</v>
      </c>
      <c r="I16" s="74">
        <v>0.127</v>
      </c>
      <c r="J16" s="75">
        <v>0.20100000000000001</v>
      </c>
      <c r="K16" s="114"/>
      <c r="L16" s="114"/>
      <c r="M16" s="114"/>
      <c r="U16" s="213" t="s">
        <v>517</v>
      </c>
      <c r="V16" s="75">
        <f>'3 Inv Calcs'!CD10</f>
        <v>12.5</v>
      </c>
      <c r="X16" s="71"/>
      <c r="AA16" s="71"/>
      <c r="AB16" s="71"/>
      <c r="AC16" s="71"/>
      <c r="AD16" s="71"/>
      <c r="AE16" s="71"/>
      <c r="AF16" s="71"/>
    </row>
    <row r="17" spans="2:37" x14ac:dyDescent="0.25">
      <c r="B17" s="89" t="s">
        <v>29</v>
      </c>
      <c r="C17" s="74">
        <f t="shared" si="3"/>
        <v>105600.001</v>
      </c>
      <c r="D17" s="75">
        <v>133100</v>
      </c>
      <c r="F17" s="89" t="s">
        <v>29</v>
      </c>
      <c r="G17" s="62">
        <v>19</v>
      </c>
      <c r="H17" s="75">
        <v>9.6699999999999994E-2</v>
      </c>
      <c r="I17" s="74">
        <v>0.10100000000000001</v>
      </c>
      <c r="J17" s="75">
        <v>0.159</v>
      </c>
      <c r="K17" s="114"/>
      <c r="L17" s="114"/>
      <c r="M17" s="114"/>
      <c r="U17" s="214" t="s">
        <v>560</v>
      </c>
      <c r="V17" s="82">
        <f>'3 Inv Calcs'!CA10</f>
        <v>380</v>
      </c>
      <c r="AA17" s="71"/>
      <c r="AB17" s="71"/>
      <c r="AC17" s="71"/>
      <c r="AD17" s="71"/>
      <c r="AE17" s="71"/>
      <c r="AF17" s="71"/>
    </row>
    <row r="18" spans="2:37" x14ac:dyDescent="0.25">
      <c r="B18" s="75" t="s">
        <v>28</v>
      </c>
      <c r="C18" s="74">
        <f t="shared" si="3"/>
        <v>133100.00099999999</v>
      </c>
      <c r="D18" s="75">
        <v>167800</v>
      </c>
      <c r="F18" s="75" t="s">
        <v>28</v>
      </c>
      <c r="G18" s="74">
        <v>19</v>
      </c>
      <c r="H18" s="75">
        <v>7.6600000000000001E-2</v>
      </c>
      <c r="I18" s="74">
        <v>7.9699999999999993E-2</v>
      </c>
      <c r="J18" s="75">
        <v>0.126</v>
      </c>
      <c r="K18" s="114"/>
      <c r="L18" s="114"/>
      <c r="M18" s="114"/>
      <c r="Y18" s="71"/>
      <c r="Z18" s="71"/>
      <c r="AA18" s="71"/>
      <c r="AB18" s="71"/>
      <c r="AC18" s="71"/>
      <c r="AD18" s="71"/>
      <c r="AE18" s="71"/>
      <c r="AF18" s="71"/>
    </row>
    <row r="19" spans="2:37" x14ac:dyDescent="0.25">
      <c r="B19" s="75" t="s">
        <v>27</v>
      </c>
      <c r="C19" s="74">
        <f t="shared" si="3"/>
        <v>167800.00099999999</v>
      </c>
      <c r="D19" s="75">
        <v>211600</v>
      </c>
      <c r="F19" s="75" t="s">
        <v>27</v>
      </c>
      <c r="G19" s="74">
        <v>19</v>
      </c>
      <c r="H19" s="75">
        <v>6.08E-2</v>
      </c>
      <c r="I19" s="74">
        <v>6.2600000000000003E-2</v>
      </c>
      <c r="J19" s="75">
        <v>0.1</v>
      </c>
      <c r="K19" s="114"/>
      <c r="L19" s="114"/>
      <c r="M19" s="114"/>
      <c r="Y19" s="71"/>
      <c r="Z19" s="71"/>
      <c r="AA19" s="71"/>
      <c r="AB19" s="71"/>
      <c r="AC19" s="71"/>
      <c r="AD19" s="71"/>
      <c r="AE19" s="71"/>
      <c r="AF19" s="71"/>
    </row>
    <row r="20" spans="2:37" x14ac:dyDescent="0.25">
      <c r="B20" s="75">
        <v>250</v>
      </c>
      <c r="C20" s="74">
        <f t="shared" si="3"/>
        <v>211600.00099999999</v>
      </c>
      <c r="D20" s="75">
        <v>250000</v>
      </c>
      <c r="F20" s="75">
        <v>250</v>
      </c>
      <c r="G20" s="74">
        <v>37</v>
      </c>
      <c r="H20" s="75">
        <v>5.1499999999999997E-2</v>
      </c>
      <c r="I20" s="74">
        <v>5.3499999999999999E-2</v>
      </c>
      <c r="J20" s="75">
        <v>8.4699999999999998E-2</v>
      </c>
      <c r="K20" s="114"/>
      <c r="L20" s="114"/>
      <c r="M20" s="114"/>
      <c r="AA20" s="71"/>
      <c r="AB20" s="71"/>
      <c r="AC20" s="71"/>
      <c r="AD20" s="71"/>
      <c r="AE20" s="71"/>
      <c r="AF20" s="71"/>
    </row>
    <row r="21" spans="2:37" x14ac:dyDescent="0.25">
      <c r="B21" s="75">
        <v>300</v>
      </c>
      <c r="C21" s="74">
        <f t="shared" si="3"/>
        <v>250000.00099999999</v>
      </c>
      <c r="D21" s="75">
        <v>300000</v>
      </c>
      <c r="F21" s="75">
        <v>300</v>
      </c>
      <c r="G21" s="74">
        <v>37</v>
      </c>
      <c r="H21" s="75">
        <v>4.2900000000000001E-2</v>
      </c>
      <c r="I21" s="74">
        <v>4.4600000000000001E-2</v>
      </c>
      <c r="J21" s="75">
        <v>7.0699999999999999E-2</v>
      </c>
      <c r="K21" s="114"/>
      <c r="L21" s="114"/>
      <c r="M21" s="114"/>
      <c r="AA21" s="71"/>
      <c r="AB21" s="71"/>
      <c r="AC21" s="71"/>
      <c r="AD21" s="71"/>
      <c r="AE21" s="71"/>
      <c r="AF21" s="71"/>
    </row>
    <row r="22" spans="2:37" x14ac:dyDescent="0.25">
      <c r="B22" s="75">
        <v>350</v>
      </c>
      <c r="C22" s="74">
        <f t="shared" si="3"/>
        <v>300000.00099999999</v>
      </c>
      <c r="D22" s="75">
        <v>350000</v>
      </c>
      <c r="F22" s="75">
        <v>350</v>
      </c>
      <c r="G22" s="74">
        <v>37</v>
      </c>
      <c r="H22" s="75">
        <v>3.6700000000000003E-2</v>
      </c>
      <c r="I22" s="74">
        <v>3.8199999999999998E-2</v>
      </c>
      <c r="J22" s="75">
        <v>6.0499999999999998E-2</v>
      </c>
      <c r="K22" s="114"/>
      <c r="L22" s="114"/>
      <c r="M22" s="114"/>
      <c r="AA22" s="71"/>
      <c r="AB22" s="71"/>
      <c r="AC22" s="71"/>
      <c r="AD22" s="71"/>
      <c r="AE22" s="71"/>
      <c r="AF22" s="71"/>
    </row>
    <row r="23" spans="2:37" x14ac:dyDescent="0.25">
      <c r="B23" s="75">
        <v>400</v>
      </c>
      <c r="C23" s="74">
        <f t="shared" si="3"/>
        <v>350000.00099999999</v>
      </c>
      <c r="D23" s="75">
        <v>400000</v>
      </c>
      <c r="F23" s="75">
        <v>400</v>
      </c>
      <c r="G23" s="74">
        <v>37</v>
      </c>
      <c r="H23" s="75">
        <v>3.2099999999999997E-2</v>
      </c>
      <c r="I23" s="74">
        <v>3.3099999999999997E-2</v>
      </c>
      <c r="J23" s="75">
        <v>5.2900000000000003E-2</v>
      </c>
      <c r="K23" s="114"/>
      <c r="L23" s="114"/>
      <c r="M23" s="114"/>
      <c r="AA23" s="71"/>
      <c r="AB23" s="71"/>
      <c r="AC23" s="71"/>
      <c r="AD23" s="71"/>
      <c r="AE23" s="71"/>
      <c r="AF23" s="71"/>
    </row>
    <row r="24" spans="2:37" x14ac:dyDescent="0.25">
      <c r="B24" s="75">
        <v>500</v>
      </c>
      <c r="C24" s="74">
        <f>D23+0.001</f>
        <v>400000.00099999999</v>
      </c>
      <c r="D24" s="75">
        <v>500000</v>
      </c>
      <c r="F24" s="75">
        <v>500</v>
      </c>
      <c r="G24" s="74">
        <v>37</v>
      </c>
      <c r="H24" s="75">
        <v>2.58E-2</v>
      </c>
      <c r="I24" s="74">
        <v>2.6499999999999999E-2</v>
      </c>
      <c r="J24" s="75">
        <v>4.24E-2</v>
      </c>
      <c r="K24" s="114"/>
      <c r="L24" s="114"/>
      <c r="M24" s="114"/>
      <c r="AA24" s="71"/>
      <c r="AB24" s="71"/>
      <c r="AC24" s="71"/>
      <c r="AD24" s="71"/>
      <c r="AE24" s="71"/>
      <c r="AF24" s="71"/>
    </row>
    <row r="25" spans="2:37" x14ac:dyDescent="0.25">
      <c r="B25" s="75">
        <v>600</v>
      </c>
      <c r="C25" s="74">
        <f t="shared" si="3"/>
        <v>500000.00099999999</v>
      </c>
      <c r="D25" s="75">
        <v>600000</v>
      </c>
      <c r="F25" s="75">
        <v>600</v>
      </c>
      <c r="G25" s="74">
        <v>61</v>
      </c>
      <c r="H25" s="75">
        <v>2.1399999999999999E-2</v>
      </c>
      <c r="I25" s="74">
        <v>2.23E-2</v>
      </c>
      <c r="J25" s="75">
        <v>3.5299999999999998E-2</v>
      </c>
      <c r="K25" s="114"/>
      <c r="L25" s="114"/>
      <c r="M25" s="114"/>
      <c r="AA25" s="71"/>
      <c r="AB25" s="71"/>
      <c r="AC25" s="71"/>
      <c r="AD25" s="71"/>
      <c r="AE25" s="71"/>
      <c r="AF25" s="71"/>
    </row>
    <row r="26" spans="2:37" x14ac:dyDescent="0.25">
      <c r="B26" s="75">
        <v>700</v>
      </c>
      <c r="C26" s="74">
        <f t="shared" si="3"/>
        <v>600000.00100000005</v>
      </c>
      <c r="D26" s="75">
        <v>700000</v>
      </c>
      <c r="F26" s="75">
        <v>700</v>
      </c>
      <c r="G26" s="74">
        <v>61</v>
      </c>
      <c r="H26" s="75">
        <v>1.84E-2</v>
      </c>
      <c r="I26" s="74">
        <v>1.89E-2</v>
      </c>
      <c r="J26" s="75">
        <v>3.0300000000000001E-2</v>
      </c>
      <c r="K26" s="114"/>
      <c r="L26" s="114"/>
      <c r="M26" s="114"/>
      <c r="AA26" s="71"/>
      <c r="AB26" s="71"/>
      <c r="AC26" s="71"/>
      <c r="AD26" s="71"/>
      <c r="AE26" s="71"/>
      <c r="AF26" s="71"/>
    </row>
    <row r="27" spans="2:37" x14ac:dyDescent="0.25">
      <c r="B27" s="75">
        <v>750</v>
      </c>
      <c r="C27" s="74">
        <f t="shared" si="3"/>
        <v>700000.00100000005</v>
      </c>
      <c r="D27" s="75">
        <v>750000</v>
      </c>
      <c r="F27" s="75">
        <v>750</v>
      </c>
      <c r="G27" s="74">
        <v>61</v>
      </c>
      <c r="H27" s="75">
        <v>1.7100000000000001E-2</v>
      </c>
      <c r="I27" s="74">
        <v>1.7600000000000001E-2</v>
      </c>
      <c r="J27" s="75">
        <v>2.8199999999999999E-2</v>
      </c>
      <c r="K27" s="114"/>
      <c r="L27" s="114"/>
      <c r="M27" s="114"/>
      <c r="AA27" s="71"/>
      <c r="AB27" s="71"/>
      <c r="AC27" s="71"/>
      <c r="AD27" s="71"/>
      <c r="AE27" s="71"/>
      <c r="AF27" s="71"/>
    </row>
    <row r="28" spans="2:37" x14ac:dyDescent="0.25">
      <c r="B28" s="75">
        <v>800</v>
      </c>
      <c r="C28" s="74">
        <f t="shared" si="3"/>
        <v>750000.00100000005</v>
      </c>
      <c r="D28" s="75">
        <v>800000</v>
      </c>
      <c r="F28" s="75">
        <v>800</v>
      </c>
      <c r="G28" s="74">
        <v>61</v>
      </c>
      <c r="H28" s="75">
        <v>1.61E-2</v>
      </c>
      <c r="I28" s="74">
        <v>1.66E-2</v>
      </c>
      <c r="J28" s="75">
        <v>2.6499999999999999E-2</v>
      </c>
      <c r="K28" s="114"/>
      <c r="L28" s="114"/>
      <c r="M28" s="114"/>
      <c r="AA28" s="71"/>
      <c r="AB28" s="71"/>
      <c r="AC28" s="71"/>
      <c r="AD28" s="71"/>
      <c r="AE28" s="71"/>
      <c r="AF28" s="71"/>
    </row>
    <row r="29" spans="2:37" x14ac:dyDescent="0.25">
      <c r="B29" s="75">
        <v>900</v>
      </c>
      <c r="C29" s="74">
        <f t="shared" si="3"/>
        <v>800000.00100000005</v>
      </c>
      <c r="D29" s="75">
        <v>900000</v>
      </c>
      <c r="F29" s="75">
        <v>900</v>
      </c>
      <c r="G29" s="74">
        <v>61</v>
      </c>
      <c r="H29" s="75">
        <v>1.43E-2</v>
      </c>
      <c r="I29" s="74">
        <v>1.47E-2</v>
      </c>
      <c r="J29" s="75">
        <v>2.35E-2</v>
      </c>
      <c r="K29" s="114"/>
      <c r="L29" s="114"/>
      <c r="M29" s="114"/>
      <c r="AA29" s="71"/>
      <c r="AB29" s="71"/>
      <c r="AC29" s="71"/>
      <c r="AD29" s="71"/>
      <c r="AE29" s="71"/>
      <c r="AF29" s="71"/>
    </row>
    <row r="30" spans="2:37" x14ac:dyDescent="0.25">
      <c r="B30" s="75">
        <v>1000</v>
      </c>
      <c r="C30" s="74">
        <f t="shared" si="3"/>
        <v>900000.00100000005</v>
      </c>
      <c r="D30" s="75">
        <v>1000000</v>
      </c>
      <c r="F30" s="75">
        <v>1000</v>
      </c>
      <c r="G30" s="74">
        <v>61</v>
      </c>
      <c r="H30" s="75">
        <v>1.29E-2</v>
      </c>
      <c r="I30" s="74">
        <v>1.32E-2</v>
      </c>
      <c r="J30" s="75">
        <v>2.12E-2</v>
      </c>
      <c r="K30" s="114"/>
      <c r="L30" s="114"/>
      <c r="M30" s="114"/>
      <c r="AA30" s="71"/>
      <c r="AB30" s="71"/>
      <c r="AC30" s="71"/>
      <c r="AD30" s="71"/>
      <c r="AE30" s="71"/>
      <c r="AF30" s="71"/>
      <c r="AH30" s="550" t="s">
        <v>543</v>
      </c>
      <c r="AI30" s="550"/>
      <c r="AJ30" s="550"/>
      <c r="AK30" s="550"/>
    </row>
    <row r="31" spans="2:37" ht="15" customHeight="1" x14ac:dyDescent="0.25">
      <c r="B31" s="75">
        <v>1250</v>
      </c>
      <c r="C31" s="74">
        <f t="shared" si="3"/>
        <v>1000000.001</v>
      </c>
      <c r="D31" s="75">
        <v>1250000</v>
      </c>
      <c r="F31" s="75">
        <v>1250</v>
      </c>
      <c r="G31" s="74">
        <v>91</v>
      </c>
      <c r="H31" s="75">
        <v>1.03E-2</v>
      </c>
      <c r="I31" s="74">
        <v>1.06E-2</v>
      </c>
      <c r="J31" s="75">
        <v>1.6899999999999998E-2</v>
      </c>
      <c r="K31" s="114"/>
      <c r="L31" s="114"/>
      <c r="M31" s="114"/>
      <c r="AA31" s="71"/>
      <c r="AB31" s="71"/>
      <c r="AC31" s="71"/>
      <c r="AD31" s="71"/>
      <c r="AE31" s="71"/>
      <c r="AF31" s="71"/>
    </row>
    <row r="32" spans="2:37" ht="15" customHeight="1" x14ac:dyDescent="0.25">
      <c r="B32" s="75">
        <v>1500</v>
      </c>
      <c r="C32" s="74">
        <f t="shared" si="3"/>
        <v>1250000.0009999999</v>
      </c>
      <c r="D32" s="75">
        <v>1500000</v>
      </c>
      <c r="F32" s="75">
        <v>1500</v>
      </c>
      <c r="G32" s="74">
        <v>91</v>
      </c>
      <c r="H32" s="75">
        <v>8.5800000000000008E-3</v>
      </c>
      <c r="I32" s="74">
        <v>8.8299999999999993E-3</v>
      </c>
      <c r="J32" s="75">
        <v>1.41E-2</v>
      </c>
      <c r="K32" s="114"/>
      <c r="L32" s="114"/>
      <c r="M32" s="114"/>
      <c r="AA32" s="71"/>
      <c r="AB32" s="71"/>
      <c r="AC32" s="71"/>
      <c r="AD32" s="71"/>
      <c r="AE32" s="71"/>
      <c r="AF32" s="71"/>
      <c r="AH32" s="231" t="s">
        <v>541</v>
      </c>
      <c r="AI32" s="231" t="s">
        <v>542</v>
      </c>
      <c r="AJ32" s="231" t="s">
        <v>113</v>
      </c>
      <c r="AK32" s="231" t="s">
        <v>11</v>
      </c>
    </row>
    <row r="33" spans="2:37" x14ac:dyDescent="0.25">
      <c r="B33" s="75">
        <v>1750</v>
      </c>
      <c r="C33" s="74">
        <f t="shared" si="3"/>
        <v>1500000.0009999999</v>
      </c>
      <c r="D33" s="75">
        <v>1750000</v>
      </c>
      <c r="F33" s="75">
        <v>1750</v>
      </c>
      <c r="G33" s="74">
        <v>91</v>
      </c>
      <c r="H33" s="75">
        <v>7.3499999999999998E-3</v>
      </c>
      <c r="I33" s="74">
        <v>7.5599999999999999E-3</v>
      </c>
      <c r="J33" s="75">
        <v>1.21E-2</v>
      </c>
      <c r="K33" s="114"/>
      <c r="L33" s="114"/>
      <c r="M33" s="114"/>
      <c r="AA33" s="71"/>
      <c r="AB33" s="71"/>
      <c r="AC33" s="71"/>
      <c r="AD33" s="71"/>
      <c r="AE33" s="71"/>
      <c r="AF33" s="71"/>
      <c r="AH33" s="288">
        <f>'3 Inv Calcs'!AY4</f>
        <v>10</v>
      </c>
      <c r="AI33" s="230" t="s">
        <v>51</v>
      </c>
      <c r="AJ33" s="601">
        <f>'3 Inv Calcs'!BA4</f>
        <v>6</v>
      </c>
      <c r="AK33" s="653">
        <v>1</v>
      </c>
    </row>
    <row r="34" spans="2:37" x14ac:dyDescent="0.25">
      <c r="B34" s="82">
        <v>2000</v>
      </c>
      <c r="C34" s="81">
        <f t="shared" si="3"/>
        <v>1750000.0009999999</v>
      </c>
      <c r="D34" s="82">
        <v>2000000</v>
      </c>
      <c r="F34" s="82">
        <v>2000</v>
      </c>
      <c r="G34" s="81">
        <v>91</v>
      </c>
      <c r="H34" s="82">
        <v>6.43E-3</v>
      </c>
      <c r="I34" s="81">
        <v>6.62E-3</v>
      </c>
      <c r="J34" s="82">
        <v>1.06E-2</v>
      </c>
      <c r="K34" s="114"/>
      <c r="L34" s="114"/>
      <c r="M34" s="114"/>
      <c r="AA34" s="71"/>
      <c r="AB34" s="71"/>
      <c r="AC34" s="71"/>
      <c r="AD34" s="71"/>
      <c r="AE34" s="71"/>
      <c r="AF34" s="71"/>
      <c r="AH34" s="288">
        <f>'3 Inv Calcs'!AY5</f>
        <v>10</v>
      </c>
      <c r="AI34" s="230" t="s">
        <v>51</v>
      </c>
      <c r="AJ34" s="602"/>
      <c r="AK34" s="602"/>
    </row>
    <row r="35" spans="2:37" x14ac:dyDescent="0.25">
      <c r="K35" s="114"/>
      <c r="L35" s="114"/>
      <c r="M35" s="114"/>
      <c r="AA35" s="71"/>
      <c r="AB35" s="71"/>
      <c r="AC35" s="71"/>
      <c r="AD35" s="71"/>
      <c r="AE35" s="71"/>
      <c r="AF35" s="71"/>
      <c r="AH35" s="288">
        <f>'3 Inv Calcs'!AY6</f>
        <v>10</v>
      </c>
      <c r="AI35" s="230" t="s">
        <v>51</v>
      </c>
      <c r="AJ35" s="603"/>
      <c r="AK35" s="603"/>
    </row>
    <row r="36" spans="2:37" x14ac:dyDescent="0.25">
      <c r="K36" s="114"/>
      <c r="L36" s="114"/>
      <c r="M36" s="114"/>
      <c r="AA36" s="71"/>
      <c r="AB36" s="71"/>
      <c r="AC36" s="71"/>
      <c r="AD36" s="71"/>
      <c r="AE36" s="71"/>
      <c r="AF36" s="71"/>
      <c r="AH36" s="288">
        <f>'3 Inv Calcs'!AY7</f>
        <v>10</v>
      </c>
      <c r="AI36" s="230" t="s">
        <v>51</v>
      </c>
      <c r="AJ36" s="601">
        <f>'3 Inv Calcs'!BA7</f>
        <v>6</v>
      </c>
      <c r="AK36" s="653">
        <v>2</v>
      </c>
    </row>
    <row r="37" spans="2:37" x14ac:dyDescent="0.25">
      <c r="K37" s="114"/>
      <c r="L37" s="114"/>
      <c r="M37" s="114"/>
      <c r="AA37" s="71"/>
      <c r="AB37" s="71"/>
      <c r="AC37" s="71"/>
      <c r="AD37" s="71"/>
      <c r="AE37" s="71"/>
      <c r="AF37" s="71"/>
      <c r="AH37" s="288">
        <f>'3 Inv Calcs'!AY8</f>
        <v>10</v>
      </c>
      <c r="AI37" s="230" t="s">
        <v>51</v>
      </c>
      <c r="AJ37" s="602"/>
      <c r="AK37" s="602"/>
    </row>
    <row r="38" spans="2:37" x14ac:dyDescent="0.25">
      <c r="K38" s="114"/>
      <c r="L38" s="114"/>
      <c r="M38" s="114"/>
      <c r="AA38" s="71"/>
      <c r="AB38" s="71"/>
      <c r="AC38" s="71"/>
      <c r="AD38" s="71"/>
      <c r="AE38" s="71"/>
      <c r="AF38" s="71"/>
      <c r="AH38" s="288">
        <f>'3 Inv Calcs'!AY9</f>
        <v>10</v>
      </c>
      <c r="AI38" s="230" t="s">
        <v>51</v>
      </c>
      <c r="AJ38" s="603"/>
      <c r="AK38" s="603"/>
    </row>
    <row r="39" spans="2:37" x14ac:dyDescent="0.25">
      <c r="K39" s="114"/>
      <c r="L39" s="114"/>
      <c r="M39" s="114"/>
      <c r="AA39" s="71"/>
      <c r="AB39" s="71"/>
      <c r="AC39" s="71"/>
      <c r="AD39" s="71"/>
      <c r="AE39" s="71"/>
      <c r="AF39" s="71"/>
      <c r="AH39" s="288">
        <f>'3 Inv Calcs'!AY10</f>
        <v>10</v>
      </c>
      <c r="AI39" s="230" t="s">
        <v>51</v>
      </c>
      <c r="AJ39" s="601">
        <f>'3 Inv Calcs'!BA10</f>
        <v>6</v>
      </c>
      <c r="AK39" s="653">
        <v>3</v>
      </c>
    </row>
    <row r="40" spans="2:37" x14ac:dyDescent="0.25">
      <c r="K40" s="114"/>
      <c r="L40" s="114"/>
      <c r="M40" s="114"/>
      <c r="AA40" s="71"/>
      <c r="AB40" s="71"/>
      <c r="AC40" s="71"/>
      <c r="AD40" s="71"/>
      <c r="AE40" s="71"/>
      <c r="AF40" s="71"/>
      <c r="AH40" s="288">
        <f>'3 Inv Calcs'!AY11</f>
        <v>10</v>
      </c>
      <c r="AI40" s="230" t="s">
        <v>51</v>
      </c>
      <c r="AJ40" s="602"/>
      <c r="AK40" s="602"/>
    </row>
    <row r="41" spans="2:37" x14ac:dyDescent="0.25">
      <c r="K41" s="114"/>
      <c r="L41" s="114"/>
      <c r="M41" s="114"/>
      <c r="AA41" s="71"/>
      <c r="AB41" s="71"/>
      <c r="AC41" s="71"/>
      <c r="AD41" s="71"/>
      <c r="AE41" s="71"/>
      <c r="AF41" s="71"/>
      <c r="AH41" s="288">
        <f>'3 Inv Calcs'!AY12</f>
        <v>10</v>
      </c>
      <c r="AI41" s="230" t="s">
        <v>51</v>
      </c>
      <c r="AJ41" s="603"/>
      <c r="AK41" s="603"/>
    </row>
    <row r="42" spans="2:37" x14ac:dyDescent="0.25">
      <c r="K42" s="114"/>
      <c r="L42" s="114"/>
      <c r="M42" s="114"/>
      <c r="AA42" s="71"/>
      <c r="AB42" s="71"/>
      <c r="AC42" s="71"/>
      <c r="AD42" s="71"/>
      <c r="AE42" s="71"/>
      <c r="AF42" s="71"/>
      <c r="AH42" s="288">
        <f>'3 Inv Calcs'!AY13</f>
        <v>10</v>
      </c>
      <c r="AI42" s="230" t="s">
        <v>51</v>
      </c>
      <c r="AJ42" s="289">
        <f>'3 Inv Calcs'!BA13</f>
        <v>10</v>
      </c>
      <c r="AK42" s="297">
        <v>4</v>
      </c>
    </row>
    <row r="43" spans="2:37" x14ac:dyDescent="0.25">
      <c r="AA43" s="71"/>
      <c r="AB43" s="71"/>
      <c r="AC43" s="71"/>
      <c r="AD43" s="71"/>
      <c r="AE43" s="71"/>
      <c r="AF43" s="71"/>
      <c r="AH43" s="288">
        <f>'3 Inv Calcs'!AY14</f>
        <v>10</v>
      </c>
      <c r="AI43" s="230" t="s">
        <v>51</v>
      </c>
      <c r="AJ43" s="289">
        <f>'3 Inv Calcs'!BA14</f>
        <v>10</v>
      </c>
      <c r="AK43" s="297">
        <v>5</v>
      </c>
    </row>
    <row r="44" spans="2:37" x14ac:dyDescent="0.25">
      <c r="AA44" s="71"/>
      <c r="AB44" s="71"/>
      <c r="AC44" s="71"/>
      <c r="AD44" s="71"/>
      <c r="AE44" s="71"/>
      <c r="AF44" s="71"/>
      <c r="AH44" s="288">
        <f>'3 Inv Calcs'!AY15</f>
        <v>10</v>
      </c>
      <c r="AI44" s="230" t="s">
        <v>51</v>
      </c>
      <c r="AJ44" s="289">
        <f>'3 Inv Calcs'!BA15</f>
        <v>10</v>
      </c>
      <c r="AK44" s="297">
        <v>6</v>
      </c>
    </row>
    <row r="45" spans="2:37" x14ac:dyDescent="0.25">
      <c r="AA45" s="71"/>
      <c r="AB45" s="71"/>
      <c r="AC45" s="71"/>
      <c r="AD45" s="71"/>
      <c r="AE45" s="71"/>
      <c r="AF45" s="71"/>
      <c r="AH45" s="288">
        <f>'3 Inv Calcs'!AY16</f>
        <v>10</v>
      </c>
      <c r="AI45" s="288">
        <f>AH45</f>
        <v>10</v>
      </c>
      <c r="AJ45" s="289">
        <f>'3 Inv Calcs'!BA16</f>
        <v>10</v>
      </c>
      <c r="AK45" s="297">
        <v>7</v>
      </c>
    </row>
    <row r="46" spans="2:37" x14ac:dyDescent="0.25">
      <c r="AA46" s="71"/>
      <c r="AB46" s="71"/>
      <c r="AC46" s="71"/>
      <c r="AD46" s="71"/>
      <c r="AE46" s="71"/>
      <c r="AF46" s="71"/>
      <c r="AH46" s="288">
        <f>'3 Inv Calcs'!AY17</f>
        <v>10</v>
      </c>
      <c r="AI46" s="288">
        <f t="shared" ref="AI46:AI48" si="11">AH46</f>
        <v>10</v>
      </c>
      <c r="AJ46" s="289">
        <f>'3 Inv Calcs'!BA17</f>
        <v>10</v>
      </c>
      <c r="AK46" s="297">
        <v>8</v>
      </c>
    </row>
    <row r="47" spans="2:37" x14ac:dyDescent="0.25">
      <c r="AA47" s="71"/>
      <c r="AB47" s="71"/>
      <c r="AC47" s="71"/>
      <c r="AD47" s="71"/>
      <c r="AE47" s="71"/>
      <c r="AF47" s="71"/>
      <c r="AH47" s="288">
        <f>'3 Inv Calcs'!AY18</f>
        <v>10</v>
      </c>
      <c r="AI47" s="288">
        <f t="shared" si="11"/>
        <v>10</v>
      </c>
      <c r="AJ47" s="289">
        <f>'3 Inv Calcs'!BA18</f>
        <v>10</v>
      </c>
      <c r="AK47" s="297">
        <v>9</v>
      </c>
    </row>
    <row r="48" spans="2:37" x14ac:dyDescent="0.25">
      <c r="AA48" s="71"/>
      <c r="AB48" s="71"/>
      <c r="AC48" s="71"/>
      <c r="AD48" s="71"/>
      <c r="AE48" s="71"/>
      <c r="AF48" s="71"/>
      <c r="AH48" s="288">
        <f>'3 Inv Calcs'!AY19</f>
        <v>8</v>
      </c>
      <c r="AI48" s="288">
        <f t="shared" si="11"/>
        <v>8</v>
      </c>
      <c r="AJ48" s="289">
        <f>'3 Inv Calcs'!BA19</f>
        <v>10</v>
      </c>
      <c r="AK48" s="298" t="s">
        <v>666</v>
      </c>
    </row>
    <row r="49" spans="27:32" x14ac:dyDescent="0.25">
      <c r="AA49" s="71"/>
      <c r="AB49" s="71"/>
      <c r="AC49" s="71"/>
      <c r="AD49" s="71"/>
      <c r="AE49" s="71"/>
      <c r="AF49" s="71"/>
    </row>
    <row r="50" spans="27:32" x14ac:dyDescent="0.25">
      <c r="AA50" s="71"/>
      <c r="AB50" s="71"/>
      <c r="AC50" s="71"/>
      <c r="AD50" s="71"/>
      <c r="AE50" s="71"/>
      <c r="AF50" s="71"/>
    </row>
    <row r="51" spans="27:32" x14ac:dyDescent="0.25">
      <c r="AA51" s="71"/>
      <c r="AB51" s="71"/>
      <c r="AC51" s="71"/>
      <c r="AD51" s="71"/>
      <c r="AE51" s="71"/>
      <c r="AF51" s="71"/>
    </row>
    <row r="52" spans="27:32" x14ac:dyDescent="0.25">
      <c r="AA52" s="71"/>
      <c r="AB52" s="71"/>
      <c r="AC52" s="71"/>
      <c r="AD52" s="71"/>
      <c r="AE52" s="71"/>
      <c r="AF52" s="71"/>
    </row>
    <row r="53" spans="27:32" x14ac:dyDescent="0.25">
      <c r="AA53" s="71"/>
      <c r="AB53" s="71"/>
      <c r="AC53" s="71"/>
      <c r="AD53" s="71"/>
      <c r="AE53" s="71"/>
      <c r="AF53" s="71"/>
    </row>
    <row r="54" spans="27:32" x14ac:dyDescent="0.25">
      <c r="AA54" s="71"/>
      <c r="AB54" s="71"/>
      <c r="AC54" s="71"/>
      <c r="AD54" s="71"/>
      <c r="AE54" s="71"/>
      <c r="AF54" s="71"/>
    </row>
    <row r="55" spans="27:32" x14ac:dyDescent="0.25">
      <c r="AA55" s="71"/>
      <c r="AB55" s="71"/>
      <c r="AC55" s="71"/>
      <c r="AD55" s="71"/>
      <c r="AE55" s="71"/>
      <c r="AF55" s="71"/>
    </row>
    <row r="56" spans="27:32" x14ac:dyDescent="0.25">
      <c r="AA56" s="71"/>
      <c r="AB56" s="71"/>
      <c r="AC56" s="71"/>
      <c r="AD56" s="71"/>
      <c r="AE56" s="71"/>
      <c r="AF56" s="71"/>
    </row>
    <row r="57" spans="27:32" x14ac:dyDescent="0.25">
      <c r="AA57" s="71"/>
      <c r="AB57" s="71"/>
      <c r="AC57" s="71"/>
      <c r="AD57" s="71"/>
      <c r="AE57" s="71"/>
      <c r="AF57" s="71"/>
    </row>
    <row r="58" spans="27:32" x14ac:dyDescent="0.25">
      <c r="AA58" s="71"/>
      <c r="AB58" s="71"/>
      <c r="AC58" s="71"/>
      <c r="AD58" s="71"/>
      <c r="AE58" s="71"/>
      <c r="AF58" s="71"/>
    </row>
    <row r="59" spans="27:32" x14ac:dyDescent="0.25">
      <c r="AA59" s="71"/>
      <c r="AB59" s="71"/>
      <c r="AC59" s="71"/>
      <c r="AD59" s="71"/>
      <c r="AE59" s="71"/>
      <c r="AF59" s="71"/>
    </row>
    <row r="60" spans="27:32" x14ac:dyDescent="0.25">
      <c r="AA60" s="71"/>
      <c r="AB60" s="71"/>
      <c r="AC60" s="71"/>
      <c r="AD60" s="71"/>
      <c r="AE60" s="71"/>
      <c r="AF60" s="71"/>
    </row>
    <row r="61" spans="27:32" x14ac:dyDescent="0.25">
      <c r="AA61" s="71"/>
      <c r="AB61" s="71"/>
      <c r="AC61" s="71"/>
      <c r="AD61" s="71"/>
      <c r="AE61" s="71"/>
      <c r="AF61" s="71"/>
    </row>
    <row r="62" spans="27:32" x14ac:dyDescent="0.25">
      <c r="AA62" s="71"/>
      <c r="AB62" s="71"/>
      <c r="AC62" s="71"/>
      <c r="AD62" s="71"/>
      <c r="AE62" s="71"/>
      <c r="AF62" s="71"/>
    </row>
    <row r="63" spans="27:32" x14ac:dyDescent="0.25">
      <c r="AA63" s="71"/>
      <c r="AB63" s="71"/>
      <c r="AC63" s="71"/>
      <c r="AD63" s="71"/>
      <c r="AE63" s="71"/>
      <c r="AF63" s="71"/>
    </row>
  </sheetData>
  <mergeCells count="24">
    <mergeCell ref="AL3:AM3"/>
    <mergeCell ref="U14:V14"/>
    <mergeCell ref="AM4:AM13"/>
    <mergeCell ref="U6:V6"/>
    <mergeCell ref="X10:X13"/>
    <mergeCell ref="AL10:AL13"/>
    <mergeCell ref="U10:V10"/>
    <mergeCell ref="X4:X9"/>
    <mergeCell ref="AL4:AL9"/>
    <mergeCell ref="B3:D3"/>
    <mergeCell ref="H3:J3"/>
    <mergeCell ref="L3:M3"/>
    <mergeCell ref="AK39:AK41"/>
    <mergeCell ref="AK36:AK38"/>
    <mergeCell ref="AK33:AK35"/>
    <mergeCell ref="AJ33:AJ35"/>
    <mergeCell ref="AJ36:AJ38"/>
    <mergeCell ref="AJ39:AJ41"/>
    <mergeCell ref="C4:D4"/>
    <mergeCell ref="L4:M4"/>
    <mergeCell ref="O3:P3"/>
    <mergeCell ref="R3:S3"/>
    <mergeCell ref="U3:V3"/>
    <mergeCell ref="AH30:AK30"/>
  </mergeCells>
  <conditionalFormatting sqref="AL10">
    <cfRule type="cellIs" dxfId="8" priority="7" operator="greaterThan">
      <formula>0.01</formula>
    </cfRule>
    <cfRule type="cellIs" dxfId="7" priority="8" operator="equal">
      <formula>0.01</formula>
    </cfRule>
    <cfRule type="cellIs" dxfId="6" priority="9" operator="lessThan">
      <formula>0.01</formula>
    </cfRule>
  </conditionalFormatting>
  <conditionalFormatting sqref="AL4">
    <cfRule type="cellIs" dxfId="5" priority="4" operator="greaterThan">
      <formula>0.02</formula>
    </cfRule>
    <cfRule type="cellIs" dxfId="4" priority="5" operator="equal">
      <formula>0.02</formula>
    </cfRule>
    <cfRule type="cellIs" dxfId="3" priority="6" operator="lessThan">
      <formula>0.02</formula>
    </cfRule>
  </conditionalFormatting>
  <conditionalFormatting sqref="AM4">
    <cfRule type="cellIs" dxfId="2" priority="1" operator="lessThan">
      <formula>0.03</formula>
    </cfRule>
    <cfRule type="cellIs" dxfId="1" priority="2" operator="equal">
      <formula>0.03</formula>
    </cfRule>
    <cfRule type="cellIs" dxfId="0" priority="3" operator="greaterThan">
      <formula>0.03</formula>
    </cfRule>
  </conditionalFormatting>
  <dataValidations disablePrompts="1" count="1">
    <dataValidation type="list" allowBlank="1" showInputMessage="1" showErrorMessage="1" sqref="AD4:AD13" xr:uid="{63B3DCA5-DB80-43F2-B2C1-55E5FE66681B}">
      <formula1>$H$4:$J$4</formula1>
    </dataValidation>
  </dataValidations>
  <pageMargins left="0.7" right="0.7" top="0.75" bottom="0.75" header="0.3" footer="0.3"/>
  <pageSetup orientation="portrait" horizontalDpi="360" verticalDpi="36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11</vt:i4>
      </vt:variant>
    </vt:vector>
  </HeadingPairs>
  <TitlesOfParts>
    <vt:vector size="27" baseType="lpstr">
      <vt:lpstr>Utility &amp; Client Info</vt:lpstr>
      <vt:lpstr>Panels</vt:lpstr>
      <vt:lpstr>Inverters</vt:lpstr>
      <vt:lpstr>Optimizers</vt:lpstr>
      <vt:lpstr>Input</vt:lpstr>
      <vt:lpstr>Output</vt:lpstr>
      <vt:lpstr>Calculations</vt:lpstr>
      <vt:lpstr>Voltage Drop</vt:lpstr>
      <vt:lpstr>2 Inv Input</vt:lpstr>
      <vt:lpstr>2 Inv Output</vt:lpstr>
      <vt:lpstr>2 Inv Calcs</vt:lpstr>
      <vt:lpstr>2 Inv VD</vt:lpstr>
      <vt:lpstr>3 Inv Input</vt:lpstr>
      <vt:lpstr>3 Inv Output</vt:lpstr>
      <vt:lpstr>3 Inv Calcs</vt:lpstr>
      <vt:lpstr>3 Inv VD</vt:lpstr>
      <vt:lpstr>CT</vt:lpstr>
      <vt:lpstr>FL</vt:lpstr>
      <vt:lpstr>IL</vt:lpstr>
      <vt:lpstr>MA</vt:lpstr>
      <vt:lpstr>MD</vt:lpstr>
      <vt:lpstr>NC</vt:lpstr>
      <vt:lpstr>NJ</vt:lpstr>
      <vt:lpstr>NY</vt:lpstr>
      <vt:lpstr>RI</vt:lpstr>
      <vt:lpstr>SC</vt:lpstr>
      <vt:lpstr>TX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Sleem</dc:creator>
  <cp:lastModifiedBy>Elitricity</cp:lastModifiedBy>
  <dcterms:created xsi:type="dcterms:W3CDTF">2018-07-24T13:59:39Z</dcterms:created>
  <dcterms:modified xsi:type="dcterms:W3CDTF">2019-04-04T20:41:18Z</dcterms:modified>
</cp:coreProperties>
</file>